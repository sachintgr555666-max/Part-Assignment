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F:\Entri\EXCEL Files\Now Using Dataset\"/>
    </mc:Choice>
  </mc:AlternateContent>
  <xr:revisionPtr revIDLastSave="0" documentId="13_ncr:1_{30F08C7B-0AD7-44FD-B7AE-C17AF99066F7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Instructions" sheetId="1" r:id="rId1"/>
    <sheet name="Original" sheetId="3" r:id="rId2"/>
    <sheet name="Missing Values" sheetId="4" r:id="rId3"/>
    <sheet name="Correcting Inconsistent Data" sheetId="7" r:id="rId4"/>
    <sheet name="Removing Duplicates" sheetId="5" r:id="rId5"/>
    <sheet name="Splitting and Merging Data" sheetId="8" r:id="rId6"/>
    <sheet name="Number Formatting" sheetId="13" r:id="rId7"/>
    <sheet name="Conditional Formatting" sheetId="14" r:id="rId8"/>
    <sheet name="Cleaned Data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rIR6213FxEpgZ/k1UDjxyMHI45/G9Bc960XOAAH4UN4="/>
    </ext>
  </extLst>
</workbook>
</file>

<file path=xl/calcChain.xml><?xml version="1.0" encoding="utf-8"?>
<calcChain xmlns="http://schemas.openxmlformats.org/spreadsheetml/2006/main">
  <c r="B2" i="13" l="1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</calcChain>
</file>

<file path=xl/sharedStrings.xml><?xml version="1.0" encoding="utf-8"?>
<sst xmlns="http://schemas.openxmlformats.org/spreadsheetml/2006/main" count="1069" uniqueCount="123">
  <si>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</si>
  <si>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</si>
  <si>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</si>
  <si>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</si>
  <si>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</si>
  <si>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</si>
  <si>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</si>
  <si>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</si>
  <si>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</si>
  <si>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</si>
  <si>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</si>
  <si>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</si>
  <si>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</si>
  <si>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</si>
  <si>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</si>
  <si>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</si>
  <si>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</si>
  <si>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</si>
  <si>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</si>
  <si>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</si>
  <si>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</si>
  <si>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</si>
  <si>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</si>
  <si>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</si>
  <si>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</si>
  <si>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</si>
  <si>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</si>
  <si>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</si>
  <si>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</si>
  <si>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</si>
  <si>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</si>
  <si>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</si>
  <si>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</si>
  <si>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</si>
  <si>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</si>
  <si>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</si>
  <si>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</si>
  <si>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</si>
  <si>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</si>
  <si>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</si>
  <si>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</si>
  <si>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</si>
  <si>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</si>
  <si>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</si>
  <si>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</si>
  <si>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</si>
  <si>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</si>
  <si>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</si>
  <si>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</si>
  <si>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</si>
  <si>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</si>
  <si>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</si>
  <si>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</si>
  <si>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</si>
  <si>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</si>
  <si>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</si>
  <si>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</si>
  <si>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</si>
  <si>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</si>
  <si>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</si>
  <si>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</si>
  <si>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</si>
  <si>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</si>
  <si>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</si>
  <si>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</si>
  <si>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</si>
  <si>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</si>
  <si>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</si>
  <si>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</si>
  <si>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</si>
  <si>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</si>
  <si>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</si>
  <si>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</si>
  <si>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</si>
  <si>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</si>
  <si>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</si>
  <si>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</si>
  <si>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</si>
  <si>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</si>
  <si>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</si>
  <si>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</si>
  <si>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</si>
  <si>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</si>
  <si>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</si>
  <si>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</si>
  <si>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</si>
  <si>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</si>
  <si>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</si>
  <si>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</si>
  <si>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</si>
  <si>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</si>
  <si>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</si>
  <si>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</si>
  <si>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</si>
  <si>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</si>
  <si>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</si>
  <si>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</si>
  <si>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</si>
  <si>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</si>
  <si>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</si>
  <si>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</si>
  <si>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</si>
  <si>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</si>
  <si>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</si>
  <si>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</si>
  <si>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</si>
  <si>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</si>
  <si>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</si>
  <si>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</si>
  <si>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</si>
  <si>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</si>
  <si>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</si>
  <si>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</si>
  <si>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</si>
  <si>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</si>
  <si>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</si>
  <si>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Name2</t>
  </si>
  <si>
    <t>T-Shirt</t>
  </si>
  <si>
    <t>PRICE $</t>
  </si>
  <si>
    <t>CATEGORY2</t>
  </si>
  <si>
    <t>Product Brand</t>
  </si>
  <si>
    <t>Manufacturing Date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</si>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</sst>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-0.249977111117893"/>
        <bgColor rgb="FF4DD0E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E0F7FA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64" fontId="8" fillId="4" borderId="0" xfId="0" applyNumberFormat="1" applyFont="1" applyFill="1" applyAlignment="1">
      <alignment horizontal="center"/>
    </xf>
    <xf numFmtId="164" fontId="0" fillId="0" borderId="0" xfId="0" applyNumberFormat="1"/>
    <xf numFmtId="164" fontId="5" fillId="5" borderId="0" xfId="0" applyNumberFormat="1" applyFont="1" applyFill="1" applyAlignment="1">
      <alignment horizontal="center"/>
    </xf>
    <xf numFmtId="164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14" fontId="0" fillId="0" borderId="0" xfId="0" applyNumberFormat="1"/>
    <xf numFmtId="0" fontId="9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14" fontId="9" fillId="12" borderId="0" xfId="0" applyNumberFormat="1" applyFont="1" applyFill="1" applyAlignment="1">
      <alignment horizontal="center"/>
    </xf>
    <xf numFmtId="14" fontId="5" fillId="12" borderId="0" xfId="0" applyNumberFormat="1" applyFont="1" applyFill="1" applyAlignment="1">
      <alignment horizontal="center"/>
    </xf>
    <xf numFmtId="164" fontId="10" fillId="11" borderId="0" xfId="0" applyNumberFormat="1" applyFont="1" applyFill="1" applyAlignment="1">
      <alignment horizontal="center"/>
    </xf>
    <xf numFmtId="164" fontId="5" fillId="11" borderId="0" xfId="0" applyNumberFormat="1" applyFont="1" applyFill="1" applyAlignment="1">
      <alignment horizontal="center"/>
    </xf>
    <xf numFmtId="0" fontId="10" fillId="11" borderId="0" xfId="0" applyFont="1" applyFill="1" applyAlignment="1">
      <alignment horizontal="center"/>
    </xf>
  </cellXfs>
  <cellStyles count="1">
    <cellStyle name="Normal" xfId="0" builtinId="0"/>
  </cellStyles>
  <dxfs count="63">
    <dxf>
      <fill>
        <gradientFill degree="90">
          <stop position="0">
            <color theme="6" tint="0.40000610370189521"/>
          </stop>
          <stop position="1">
            <color theme="5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"/>
      <fill>
        <patternFill patternType="solid">
          <fgColor rgb="FFE0F7FA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4A271-BF6B-4572-B7B9-893619CF1D1F}" name="Table22" displayName="Table22" ref="A1:H32" totalsRowShown="0" headerRowDxfId="62" dataDxfId="61">
  <autoFilter ref="A1:H32" xr:uid="{4C44A271-BF6B-4572-B7B9-893619CF1D1F}"/>
  <tableColumns count="8">
    <tableColumn id="1" xr3:uid="{661F3288-DA65-41C2-83A3-99AD55B3D037}" name="Product ID" dataDxfId="60"/>
    <tableColumn id="7" xr3:uid="{BF0C2EEA-0EB6-4207-8EA8-30AC24EBF399}" name="Product Name2" dataDxfId="59"/>
    <tableColumn id="3" xr3:uid="{F035AC38-616D-4AE7-81FB-92470A04235A}" name="Brand Name" dataDxfId="58"/>
    <tableColumn id="4" xr3:uid="{2008153B-7F48-4ECF-9925-E00FD4849640}" name="Price ($)" dataDxfId="57"/>
    <tableColumn id="2" xr3:uid="{FEC577B3-295E-4CEA-87DE-555506E1CB85}" name="PRICE $" dataDxfId="56">
      <calculatedColumnFormula>IF(D2="",AVERAGEIF($G$2:$G$32,G2,$D$2:$G$32),D2)</calculatedColumnFormula>
    </tableColumn>
    <tableColumn id="5" xr3:uid="{27E8001B-77A6-4CEC-8BD3-04BADE0C0D54}" name="Quantity" dataDxfId="55"/>
    <tableColumn id="6" xr3:uid="{F43FAE9F-1C9C-417B-8001-7B3C00F6664C}" name="Category" dataDxfId="54"/>
    <tableColumn id="8" xr3:uid="{1DFF1E54-DA10-4743-B6BE-EEB1B72D0095}" name="CATEGORY2" dataDxfId="53">
      <calculatedColumnFormula>+IF(G2="",IF(D2&lt;80,"Accessories",IF(D2&lt;100,"Fashion",IF(D2&lt;150,"Kitchen",IF(G2&lt;=200,"Electronics")))),G2)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53616F-F272-43D7-A0FE-B1A924C38D48}" name="Table2235" displayName="Table2235" ref="A1:F32" totalsRowShown="0" headerRowDxfId="52" dataDxfId="51">
  <autoFilter ref="A1:F32" xr:uid="{AE53616F-F272-43D7-A0FE-B1A924C38D48}"/>
  <tableColumns count="6">
    <tableColumn id="1" xr3:uid="{89D0B58D-101A-497C-AC4A-51C75FB89321}" name="Product ID" dataDxfId="50"/>
    <tableColumn id="7" xr3:uid="{4FE08B52-A6A4-45AD-B104-7A4CBBD42856}" name="Product Name" dataDxfId="49"/>
    <tableColumn id="3" xr3:uid="{048DB136-0D86-424C-891F-57FB45ADE40E}" name="Brand Name" dataDxfId="48"/>
    <tableColumn id="2" xr3:uid="{04F8E2C7-8A30-44F5-8A8E-09D884E227EA}" name="Price ($)" dataDxfId="47"/>
    <tableColumn id="5" xr3:uid="{D9DA38D4-96A1-4571-975E-BA74EB03668D}" name="Quantity" dataDxfId="46"/>
    <tableColumn id="8" xr3:uid="{73835A91-06B5-4441-B81B-BD7FF100E068}" name="Category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98FD24-CB3D-4DC4-BCA5-DA9375B3A48D}" name="Table2234" displayName="Table2234" ref="A1:F32" totalsRowShown="0" headerRowDxfId="44" dataDxfId="43">
  <autoFilter ref="A1:F32" xr:uid="{5998FD24-CB3D-4DC4-BCA5-DA9375B3A48D}"/>
  <tableColumns count="6">
    <tableColumn id="1" xr3:uid="{5DA79D60-173A-485C-8643-AFC75CE44B7A}" name="Product ID" dataDxfId="42"/>
    <tableColumn id="7" xr3:uid="{6A067428-598A-4D1E-92FB-7EC4EF27EFEF}" name="Product Name" dataDxfId="41"/>
    <tableColumn id="3" xr3:uid="{887963CE-0610-4518-90C9-64A94157F977}" name="Brand Name" dataDxfId="40"/>
    <tableColumn id="2" xr3:uid="{614A31CF-3F64-48A7-B1BF-F7A32B62DA16}" name="Price ($)" dataDxfId="39"/>
    <tableColumn id="5" xr3:uid="{DF942C4E-1B6D-4443-BDE3-D414596B75E9}" name="Quantity" dataDxfId="38"/>
    <tableColumn id="8" xr3:uid="{AD5443B8-9DF1-43F1-892A-2EC2C66CFA29}" name="Category" dataDxfId="37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8255AD-5570-43D6-B992-6CDA809F1C28}" name="Table22356" displayName="Table22356" ref="A1:I32" totalsRowShown="0" headerRowDxfId="36" dataDxfId="35">
  <autoFilter ref="A1:I32" xr:uid="{D08255AD-5570-43D6-B992-6CDA809F1C28}"/>
  <tableColumns count="9">
    <tableColumn id="1" xr3:uid="{A290CE61-3D53-46EE-803E-70B85B008194}" name="Product ID" dataDxfId="34"/>
    <tableColumn id="10" xr3:uid="{9B31A6CD-0266-4129-84A3-435409C8D850}" name="Manufacturing Date" dataDxfId="33">
      <calculatedColumnFormula>LEFT(A2,2)</calculatedColumnFormula>
    </tableColumn>
    <tableColumn id="11" xr3:uid="{0C2E27C3-7367-43AD-8872-5228AAFC1E46}" name="Country Code" dataDxfId="32">
      <calculatedColumnFormula>RIGHT(A2,2)</calculatedColumnFormula>
    </tableColumn>
    <tableColumn id="7" xr3:uid="{C4A280E7-AD93-449A-8D1C-508DD4F4CA0E}" name="Product Name" dataDxfId="31"/>
    <tableColumn id="3" xr3:uid="{8FD6FFDA-92B9-4B8C-8417-924D958EDC9D}" name="Brand Name" dataDxfId="30"/>
    <tableColumn id="9" xr3:uid="{039169D8-99E3-4A16-85F3-F7FC0F68430B}" name="Product Brand" dataDxfId="29">
      <calculatedColumnFormula>CONCATENATE(E2," ",D2)</calculatedColumnFormula>
    </tableColumn>
    <tableColumn id="2" xr3:uid="{41994B0E-9E34-4EA5-A969-9329A020E295}" name="Price ($)" dataDxfId="28"/>
    <tableColumn id="5" xr3:uid="{DAE76714-664D-4781-A78B-AA14207B7800}" name="Quantity" dataDxfId="27"/>
    <tableColumn id="8" xr3:uid="{914E4C18-F4DE-4953-8AFC-1FE00615AA30}" name="Category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290A01-0DDC-48D2-BAA3-80ABB417CEFC}" name="Table22347" displayName="Table22347" ref="A1:G32" totalsRowShown="0" headerRowDxfId="25" dataDxfId="24">
  <autoFilter ref="A1:G32" xr:uid="{BA290A01-0DDC-48D2-BAA3-80ABB417CEFC}"/>
  <tableColumns count="7">
    <tableColumn id="1" xr3:uid="{715B3273-8E9E-4464-B59B-451F08344459}" name="Product ID" dataDxfId="23"/>
    <tableColumn id="9" xr3:uid="{09291F33-5E68-4922-8611-283A385E43D3}" name="Manufacturing Date" dataDxfId="22">
      <calculatedColumnFormula>LEFT(A2,6)</calculatedColumnFormula>
    </tableColumn>
    <tableColumn id="7" xr3:uid="{9169C624-953F-4DC4-92CE-B5E56B531BD9}" name="Product Name" dataDxfId="21"/>
    <tableColumn id="3" xr3:uid="{3C76E3FA-7B77-4FEC-8CFB-11A1D955B293}" name="Brand Name" dataDxfId="20"/>
    <tableColumn id="2" xr3:uid="{02212CF8-5C13-4FCF-B7C6-C66DCF5BB50D}" name="Price ($)" dataDxfId="19"/>
    <tableColumn id="5" xr3:uid="{2AC33DB1-2FE5-489E-BDB4-3BBFE48F91B9}" name="Quantity" dataDxfId="18"/>
    <tableColumn id="8" xr3:uid="{824A0712-B59D-42E5-A6F3-CEC1032ECB1D}" name="Category" dataDxfId="17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2100C3-2048-49F9-83AA-CDE91C1F22D2}" name="Table2238" displayName="Table2238" ref="A1:F32" totalsRowShown="0" headerRowDxfId="16" dataDxfId="15">
  <autoFilter ref="A1:F32" xr:uid="{EB2100C3-2048-49F9-83AA-CDE91C1F22D2}"/>
  <tableColumns count="6">
    <tableColumn id="1" xr3:uid="{1060D2E0-96FC-40BE-A7E2-4C07DF29DA3C}" name="Product ID" dataDxfId="14"/>
    <tableColumn id="7" xr3:uid="{59E2CB2D-CA35-4196-8518-C9C0F322E59B}" name="Product Name" dataDxfId="13"/>
    <tableColumn id="3" xr3:uid="{0EC84E58-83F8-4377-8BD4-47982C8355C6}" name="Brand Name" dataDxfId="12"/>
    <tableColumn id="2" xr3:uid="{1C1BD8A5-2AA4-41F9-85BF-FB0918D5E621}" name="Price ($)" dataDxfId="11"/>
    <tableColumn id="5" xr3:uid="{800400B2-F775-42BD-9A05-38231356DB4D}" name="Quantity" dataDxfId="10"/>
    <tableColumn id="8" xr3:uid="{A7239839-F7BE-4C91-8FAE-781E20CBFBB6}" name="Category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17485F-56FE-4E91-8382-F38CD3894EE4}" name="Table223" displayName="Table223" ref="A1:F32" totalsRowShown="0" headerRowDxfId="8" dataDxfId="7">
  <autoFilter ref="A1:F32" xr:uid="{6517485F-56FE-4E91-8382-F38CD3894EE4}"/>
  <tableColumns count="6">
    <tableColumn id="1" xr3:uid="{016050E0-1B42-49A3-9E77-982E03D3D4A6}" name="Product ID" dataDxfId="6"/>
    <tableColumn id="7" xr3:uid="{A921B2F4-C266-48F2-A087-F8334CE465E7}" name="Product Name" dataDxfId="5"/>
    <tableColumn id="3" xr3:uid="{1C5A57DA-AADA-4DA6-9E04-697E482E1F51}" name="Brand Name" dataDxfId="4"/>
    <tableColumn id="2" xr3:uid="{3308A40C-ECB3-40F6-9395-8BD64B67237E}" name="Price ($)" dataDxfId="3"/>
    <tableColumn id="5" xr3:uid="{C65C5FC5-7458-4247-BFA1-D05B853C5E1A}" name="Quantity" dataDxfId="2"/>
    <tableColumn id="8" xr3:uid="{70F18BB8-613F-4F30-A081-A2FA67FDF9BB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M7" sqref="M7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2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2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2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A3E9-5014-4C3D-9D05-AF05C40E667C}">
  <sheetPr>
    <outlinePr summaryBelow="0" summaryRight="0"/>
  </sheetPr>
  <dimension ref="A1:P1000"/>
  <sheetViews>
    <sheetView workbookViewId="0">
      <selection activeCell="I12" sqref="I12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A907-5FA7-44EE-8ACB-D827DDDB580B}">
  <dimension ref="A1:H32"/>
  <sheetViews>
    <sheetView tabSelected="1" workbookViewId="0">
      <selection activeCell="D37" sqref="D37"/>
    </sheetView>
  </sheetViews>
  <sheetFormatPr defaultRowHeight="12.75" x14ac:dyDescent="0.2"/>
  <cols>
    <col min="1" max="1" width="15" bestFit="1" customWidth="1"/>
    <col min="2" max="2" width="19.5703125" bestFit="1" customWidth="1"/>
    <col min="3" max="3" width="16.85546875" bestFit="1" customWidth="1"/>
    <col min="4" max="4" width="13" bestFit="1" customWidth="1"/>
    <col min="5" max="5" width="13" style="13" customWidth="1"/>
    <col min="6" max="6" width="13.140625" bestFit="1" customWidth="1"/>
    <col min="7" max="7" width="13.7109375" bestFit="1" customWidth="1"/>
    <col min="8" max="8" width="13.7109375" customWidth="1"/>
  </cols>
  <sheetData>
    <row r="1" spans="1:8" x14ac:dyDescent="0.2">
      <c r="A1" s="7" t="s">
        <v>19</v>
      </c>
      <c r="B1" s="7" t="s">
        <v>116</v>
      </c>
      <c r="C1" s="7" t="s">
        <v>21</v>
      </c>
      <c r="D1" s="7" t="s">
        <v>22</v>
      </c>
      <c r="E1" s="12" t="s">
        <v>118</v>
      </c>
      <c r="F1" s="7" t="s">
        <v>23</v>
      </c>
      <c r="G1" s="7" t="s">
        <v>24</v>
      </c>
      <c r="H1" s="11" t="s">
        <v>119</v>
      </c>
    </row>
    <row r="2" spans="1:8" x14ac:dyDescent="0.2">
      <c r="A2" s="9" t="s">
        <v>25</v>
      </c>
      <c r="B2" s="9" t="s">
        <v>61</v>
      </c>
      <c r="C2" s="9" t="s">
        <v>27</v>
      </c>
      <c r="D2" s="9">
        <v>1000</v>
      </c>
      <c r="E2" s="14">
        <f t="shared" ref="E2:E32" si="0">IF(D2="",AVERAGEIF($G$2:$G$32,G2,$D$2:$G$32),D2)</f>
        <v>1000</v>
      </c>
      <c r="F2" s="9">
        <v>30</v>
      </c>
      <c r="G2" s="9" t="s">
        <v>28</v>
      </c>
      <c r="H2" s="16" t="str">
        <f t="shared" ref="H2:H32" si="1">+IF(G2="",IF(D2&lt;80,"Accessories",IF(D2&lt;100,"Fashion",IF(D2&lt;150,"Kitchen",IF(G2&lt;=200,"Electronics")))),G2)</f>
        <v>Electronics</v>
      </c>
    </row>
    <row r="3" spans="1:8" x14ac:dyDescent="0.2">
      <c r="A3" s="10" t="s">
        <v>29</v>
      </c>
      <c r="B3" s="10" t="s">
        <v>30</v>
      </c>
      <c r="C3" s="10" t="s">
        <v>31</v>
      </c>
      <c r="D3" s="10">
        <v>80</v>
      </c>
      <c r="E3" s="15">
        <f t="shared" si="0"/>
        <v>80</v>
      </c>
      <c r="F3" s="10">
        <v>15</v>
      </c>
      <c r="G3" s="10" t="s">
        <v>32</v>
      </c>
      <c r="H3" s="16" t="str">
        <f t="shared" si="1"/>
        <v>Fashion</v>
      </c>
    </row>
    <row r="4" spans="1:8" x14ac:dyDescent="0.2">
      <c r="A4" s="9" t="s">
        <v>33</v>
      </c>
      <c r="B4" s="9" t="s">
        <v>34</v>
      </c>
      <c r="C4" s="9" t="s">
        <v>35</v>
      </c>
      <c r="D4" s="9">
        <v>130</v>
      </c>
      <c r="E4" s="14">
        <f t="shared" si="0"/>
        <v>130</v>
      </c>
      <c r="F4" s="9">
        <v>40</v>
      </c>
      <c r="G4" s="9" t="s">
        <v>36</v>
      </c>
      <c r="H4" s="16" t="str">
        <f t="shared" si="1"/>
        <v>Kitchen</v>
      </c>
    </row>
    <row r="5" spans="1:8" x14ac:dyDescent="0.2">
      <c r="A5" s="10" t="s">
        <v>37</v>
      </c>
      <c r="B5" s="10" t="s">
        <v>96</v>
      </c>
      <c r="C5" s="10" t="s">
        <v>39</v>
      </c>
      <c r="D5" s="10">
        <v>900</v>
      </c>
      <c r="E5" s="15">
        <f t="shared" si="0"/>
        <v>900</v>
      </c>
      <c r="F5" s="10">
        <v>25</v>
      </c>
      <c r="G5" s="10" t="s">
        <v>28</v>
      </c>
      <c r="H5" s="16" t="str">
        <f t="shared" si="1"/>
        <v>Electronics</v>
      </c>
    </row>
    <row r="6" spans="1:8" x14ac:dyDescent="0.2">
      <c r="A6" s="9" t="s">
        <v>40</v>
      </c>
      <c r="B6" s="9" t="s">
        <v>41</v>
      </c>
      <c r="C6" s="9" t="s">
        <v>42</v>
      </c>
      <c r="D6" s="9">
        <v>70</v>
      </c>
      <c r="E6" s="14">
        <f t="shared" si="0"/>
        <v>70</v>
      </c>
      <c r="F6" s="9">
        <v>20</v>
      </c>
      <c r="G6" s="9"/>
      <c r="H6" s="16" t="str">
        <f t="shared" si="1"/>
        <v>Accessories</v>
      </c>
    </row>
    <row r="7" spans="1:8" x14ac:dyDescent="0.2">
      <c r="A7" s="10" t="s">
        <v>43</v>
      </c>
      <c r="B7" s="10" t="s">
        <v>44</v>
      </c>
      <c r="C7" s="10" t="s">
        <v>45</v>
      </c>
      <c r="D7" s="10"/>
      <c r="E7" s="15">
        <f t="shared" si="0"/>
        <v>592.72727272727275</v>
      </c>
      <c r="F7" s="10">
        <v>45</v>
      </c>
      <c r="G7" s="10" t="s">
        <v>28</v>
      </c>
      <c r="H7" s="16" t="str">
        <f t="shared" si="1"/>
        <v>Electronics</v>
      </c>
    </row>
    <row r="8" spans="1:8" x14ac:dyDescent="0.2">
      <c r="A8" s="9" t="s">
        <v>47</v>
      </c>
      <c r="B8" s="9" t="s">
        <v>117</v>
      </c>
      <c r="C8" s="9" t="s">
        <v>49</v>
      </c>
      <c r="D8" s="9">
        <v>30</v>
      </c>
      <c r="E8" s="14">
        <f t="shared" si="0"/>
        <v>30</v>
      </c>
      <c r="F8" s="9">
        <v>5</v>
      </c>
      <c r="G8" s="9" t="s">
        <v>32</v>
      </c>
      <c r="H8" s="16" t="str">
        <f t="shared" si="1"/>
        <v>Fashion</v>
      </c>
    </row>
    <row r="9" spans="1:8" x14ac:dyDescent="0.2">
      <c r="A9" s="10" t="s">
        <v>50</v>
      </c>
      <c r="B9" s="10" t="s">
        <v>51</v>
      </c>
      <c r="C9" s="10" t="s">
        <v>52</v>
      </c>
      <c r="D9" s="10">
        <v>90</v>
      </c>
      <c r="E9" s="15">
        <f t="shared" si="0"/>
        <v>90</v>
      </c>
      <c r="F9" s="10">
        <v>35</v>
      </c>
      <c r="G9" s="10" t="s">
        <v>36</v>
      </c>
      <c r="H9" s="16" t="str">
        <f t="shared" si="1"/>
        <v>Kitchen</v>
      </c>
    </row>
    <row r="10" spans="1:8" x14ac:dyDescent="0.2">
      <c r="A10" s="9" t="s">
        <v>53</v>
      </c>
      <c r="B10" s="9" t="s">
        <v>54</v>
      </c>
      <c r="C10" s="9" t="s">
        <v>55</v>
      </c>
      <c r="D10" s="9">
        <v>500</v>
      </c>
      <c r="E10" s="14">
        <f t="shared" si="0"/>
        <v>500</v>
      </c>
      <c r="F10" s="9">
        <v>50</v>
      </c>
      <c r="G10" s="9" t="s">
        <v>28</v>
      </c>
      <c r="H10" s="16" t="str">
        <f t="shared" si="1"/>
        <v>Electronics</v>
      </c>
    </row>
    <row r="11" spans="1:8" x14ac:dyDescent="0.2">
      <c r="A11" s="10" t="s">
        <v>56</v>
      </c>
      <c r="B11" s="10" t="s">
        <v>57</v>
      </c>
      <c r="C11" s="10" t="s">
        <v>58</v>
      </c>
      <c r="D11" s="10">
        <v>130</v>
      </c>
      <c r="E11" s="15">
        <f t="shared" si="0"/>
        <v>130</v>
      </c>
      <c r="F11" s="10">
        <v>10</v>
      </c>
      <c r="G11" s="10" t="s">
        <v>59</v>
      </c>
      <c r="H11" s="16" t="str">
        <f t="shared" si="1"/>
        <v>Outdoor</v>
      </c>
    </row>
    <row r="12" spans="1:8" x14ac:dyDescent="0.2">
      <c r="A12" s="9" t="s">
        <v>60</v>
      </c>
      <c r="B12" s="9" t="s">
        <v>61</v>
      </c>
      <c r="C12" s="9" t="s">
        <v>62</v>
      </c>
      <c r="D12" s="9">
        <v>950</v>
      </c>
      <c r="E12" s="14">
        <f t="shared" si="0"/>
        <v>950</v>
      </c>
      <c r="F12" s="9">
        <v>25</v>
      </c>
      <c r="G12" s="9" t="s">
        <v>28</v>
      </c>
      <c r="H12" s="16" t="str">
        <f t="shared" si="1"/>
        <v>Electronics</v>
      </c>
    </row>
    <row r="13" spans="1:8" x14ac:dyDescent="0.2">
      <c r="A13" s="10" t="s">
        <v>63</v>
      </c>
      <c r="B13" s="10" t="s">
        <v>30</v>
      </c>
      <c r="C13" s="10" t="s">
        <v>49</v>
      </c>
      <c r="D13" s="10">
        <v>90</v>
      </c>
      <c r="E13" s="15">
        <f t="shared" si="0"/>
        <v>90</v>
      </c>
      <c r="F13" s="10">
        <v>40</v>
      </c>
      <c r="G13" s="10"/>
      <c r="H13" s="16" t="str">
        <f t="shared" si="1"/>
        <v>Fashion</v>
      </c>
    </row>
    <row r="14" spans="1:8" x14ac:dyDescent="0.2">
      <c r="A14" s="9" t="s">
        <v>64</v>
      </c>
      <c r="B14" s="9" t="s">
        <v>34</v>
      </c>
      <c r="C14" s="9" t="s">
        <v>65</v>
      </c>
      <c r="D14" s="9">
        <v>120</v>
      </c>
      <c r="E14" s="14">
        <f t="shared" si="0"/>
        <v>120</v>
      </c>
      <c r="F14" s="9">
        <v>35</v>
      </c>
      <c r="G14" s="9"/>
      <c r="H14" s="16" t="str">
        <f t="shared" si="1"/>
        <v>Kitchen</v>
      </c>
    </row>
    <row r="15" spans="1:8" x14ac:dyDescent="0.2">
      <c r="A15" s="10" t="s">
        <v>66</v>
      </c>
      <c r="B15" s="10" t="s">
        <v>67</v>
      </c>
      <c r="C15" s="10" t="s">
        <v>68</v>
      </c>
      <c r="D15" s="10">
        <v>150</v>
      </c>
      <c r="E15" s="15">
        <f t="shared" si="0"/>
        <v>150</v>
      </c>
      <c r="F15" s="10">
        <v>15</v>
      </c>
      <c r="G15" s="10" t="s">
        <v>28</v>
      </c>
      <c r="H15" s="16" t="str">
        <f t="shared" si="1"/>
        <v>Electronics</v>
      </c>
    </row>
    <row r="16" spans="1:8" x14ac:dyDescent="0.2">
      <c r="A16" s="9" t="s">
        <v>69</v>
      </c>
      <c r="B16" s="9" t="s">
        <v>44</v>
      </c>
      <c r="C16" s="9" t="s">
        <v>71</v>
      </c>
      <c r="D16" s="9">
        <v>250</v>
      </c>
      <c r="E16" s="14">
        <f t="shared" si="0"/>
        <v>250</v>
      </c>
      <c r="F16" s="9">
        <v>20</v>
      </c>
      <c r="G16" s="9" t="s">
        <v>28</v>
      </c>
      <c r="H16" s="16" t="str">
        <f t="shared" si="1"/>
        <v>Electronics</v>
      </c>
    </row>
    <row r="17" spans="1:8" x14ac:dyDescent="0.2">
      <c r="A17" s="10" t="s">
        <v>72</v>
      </c>
      <c r="B17" s="10" t="s">
        <v>73</v>
      </c>
      <c r="C17" s="10" t="s">
        <v>74</v>
      </c>
      <c r="D17" s="10">
        <v>50</v>
      </c>
      <c r="E17" s="15">
        <f t="shared" si="0"/>
        <v>50</v>
      </c>
      <c r="F17" s="10">
        <v>35</v>
      </c>
      <c r="G17" s="10" t="s">
        <v>75</v>
      </c>
      <c r="H17" s="16" t="str">
        <f t="shared" si="1"/>
        <v>Accessories</v>
      </c>
    </row>
    <row r="18" spans="1:8" x14ac:dyDescent="0.2">
      <c r="A18" s="9" t="s">
        <v>76</v>
      </c>
      <c r="B18" s="9" t="s">
        <v>67</v>
      </c>
      <c r="C18" s="9" t="s">
        <v>77</v>
      </c>
      <c r="D18" s="9">
        <v>160</v>
      </c>
      <c r="E18" s="14">
        <f t="shared" si="0"/>
        <v>160</v>
      </c>
      <c r="F18" s="9">
        <v>15</v>
      </c>
      <c r="G18" s="9" t="s">
        <v>28</v>
      </c>
      <c r="H18" s="16" t="str">
        <f t="shared" si="1"/>
        <v>Electronics</v>
      </c>
    </row>
    <row r="19" spans="1:8" x14ac:dyDescent="0.2">
      <c r="A19" s="10" t="s">
        <v>78</v>
      </c>
      <c r="B19" s="10" t="s">
        <v>61</v>
      </c>
      <c r="C19" s="10" t="s">
        <v>79</v>
      </c>
      <c r="D19" s="10">
        <v>980</v>
      </c>
      <c r="E19" s="15">
        <f t="shared" si="0"/>
        <v>980</v>
      </c>
      <c r="F19" s="10">
        <v>10</v>
      </c>
      <c r="G19" s="10" t="s">
        <v>28</v>
      </c>
      <c r="H19" s="16" t="str">
        <f t="shared" si="1"/>
        <v>Electronics</v>
      </c>
    </row>
    <row r="20" spans="1:8" x14ac:dyDescent="0.2">
      <c r="A20" s="9" t="s">
        <v>80</v>
      </c>
      <c r="B20" s="9" t="s">
        <v>81</v>
      </c>
      <c r="C20" s="9" t="s">
        <v>82</v>
      </c>
      <c r="D20" s="9">
        <v>150</v>
      </c>
      <c r="E20" s="14">
        <f t="shared" si="0"/>
        <v>150</v>
      </c>
      <c r="F20" s="9">
        <v>15</v>
      </c>
      <c r="G20" s="9" t="s">
        <v>32</v>
      </c>
      <c r="H20" s="16" t="str">
        <f t="shared" si="1"/>
        <v>Fashion</v>
      </c>
    </row>
    <row r="21" spans="1:8" x14ac:dyDescent="0.2">
      <c r="A21" s="10" t="s">
        <v>83</v>
      </c>
      <c r="B21" s="10" t="s">
        <v>84</v>
      </c>
      <c r="C21" s="10" t="s">
        <v>85</v>
      </c>
      <c r="D21" s="10"/>
      <c r="E21" s="15">
        <f t="shared" si="0"/>
        <v>130</v>
      </c>
      <c r="F21" s="10">
        <v>10</v>
      </c>
      <c r="G21" s="10" t="s">
        <v>59</v>
      </c>
      <c r="H21" s="16" t="str">
        <f t="shared" si="1"/>
        <v>Outdoor</v>
      </c>
    </row>
    <row r="22" spans="1:8" x14ac:dyDescent="0.2">
      <c r="A22" s="9" t="s">
        <v>86</v>
      </c>
      <c r="B22" s="9" t="s">
        <v>87</v>
      </c>
      <c r="C22" s="9" t="s">
        <v>88</v>
      </c>
      <c r="D22" s="9">
        <v>700</v>
      </c>
      <c r="E22" s="14">
        <f t="shared" si="0"/>
        <v>700</v>
      </c>
      <c r="F22" s="9">
        <v>50</v>
      </c>
      <c r="G22" s="9" t="s">
        <v>28</v>
      </c>
      <c r="H22" s="16" t="str">
        <f t="shared" si="1"/>
        <v>Electronics</v>
      </c>
    </row>
    <row r="23" spans="1:8" x14ac:dyDescent="0.2">
      <c r="A23" s="10" t="s">
        <v>89</v>
      </c>
      <c r="B23" s="10" t="s">
        <v>90</v>
      </c>
      <c r="C23" s="10" t="s">
        <v>91</v>
      </c>
      <c r="D23" s="10">
        <v>80</v>
      </c>
      <c r="E23" s="15">
        <f t="shared" si="0"/>
        <v>80</v>
      </c>
      <c r="F23" s="10">
        <v>20</v>
      </c>
      <c r="G23" s="10" t="s">
        <v>36</v>
      </c>
      <c r="H23" s="16" t="str">
        <f t="shared" si="1"/>
        <v>Kitchen</v>
      </c>
    </row>
    <row r="24" spans="1:8" x14ac:dyDescent="0.2">
      <c r="A24" s="9" t="s">
        <v>92</v>
      </c>
      <c r="B24" s="9" t="s">
        <v>93</v>
      </c>
      <c r="C24" s="9" t="s">
        <v>94</v>
      </c>
      <c r="D24" s="9">
        <v>150</v>
      </c>
      <c r="E24" s="14">
        <f t="shared" si="0"/>
        <v>150</v>
      </c>
      <c r="F24" s="9">
        <v>30</v>
      </c>
      <c r="G24" s="9"/>
      <c r="H24" s="16" t="str">
        <f t="shared" si="1"/>
        <v>Electronics</v>
      </c>
    </row>
    <row r="25" spans="1:8" x14ac:dyDescent="0.2">
      <c r="A25" s="9" t="s">
        <v>95</v>
      </c>
      <c r="B25" s="9" t="s">
        <v>96</v>
      </c>
      <c r="C25" s="9" t="s">
        <v>97</v>
      </c>
      <c r="D25" s="9">
        <v>800</v>
      </c>
      <c r="E25" s="14">
        <f t="shared" si="0"/>
        <v>800</v>
      </c>
      <c r="F25" s="9">
        <v>45</v>
      </c>
      <c r="G25" s="9" t="s">
        <v>28</v>
      </c>
      <c r="H25" s="16" t="str">
        <f t="shared" si="1"/>
        <v>Electronics</v>
      </c>
    </row>
    <row r="26" spans="1:8" x14ac:dyDescent="0.2">
      <c r="A26" s="10" t="s">
        <v>98</v>
      </c>
      <c r="B26" s="10" t="s">
        <v>81</v>
      </c>
      <c r="C26" s="10" t="s">
        <v>99</v>
      </c>
      <c r="D26" s="10"/>
      <c r="E26" s="15">
        <f t="shared" si="0"/>
        <v>74</v>
      </c>
      <c r="F26" s="10">
        <v>25</v>
      </c>
      <c r="G26" s="10" t="s">
        <v>32</v>
      </c>
      <c r="H26" s="16" t="str">
        <f t="shared" si="1"/>
        <v>Fashion</v>
      </c>
    </row>
    <row r="27" spans="1:8" x14ac:dyDescent="0.2">
      <c r="A27" s="9" t="s">
        <v>100</v>
      </c>
      <c r="B27" s="9" t="s">
        <v>51</v>
      </c>
      <c r="C27" s="9" t="s">
        <v>101</v>
      </c>
      <c r="D27" s="9">
        <v>400</v>
      </c>
      <c r="E27" s="14">
        <f t="shared" si="0"/>
        <v>400</v>
      </c>
      <c r="F27" s="9">
        <v>40</v>
      </c>
      <c r="G27" s="9" t="s">
        <v>36</v>
      </c>
      <c r="H27" s="16" t="str">
        <f t="shared" si="1"/>
        <v>Kitchen</v>
      </c>
    </row>
    <row r="28" spans="1:8" x14ac:dyDescent="0.2">
      <c r="A28" s="9" t="s">
        <v>102</v>
      </c>
      <c r="B28" s="9" t="s">
        <v>103</v>
      </c>
      <c r="C28" s="9" t="s">
        <v>104</v>
      </c>
      <c r="D28" s="9">
        <v>60</v>
      </c>
      <c r="E28" s="14">
        <f t="shared" si="0"/>
        <v>60</v>
      </c>
      <c r="F28" s="9">
        <v>30</v>
      </c>
      <c r="G28" s="9" t="s">
        <v>32</v>
      </c>
      <c r="H28" s="16" t="str">
        <f t="shared" si="1"/>
        <v>Fashion</v>
      </c>
    </row>
    <row r="29" spans="1:8" x14ac:dyDescent="0.2">
      <c r="A29" s="10" t="s">
        <v>105</v>
      </c>
      <c r="B29" s="10" t="s">
        <v>106</v>
      </c>
      <c r="C29" s="10" t="s">
        <v>107</v>
      </c>
      <c r="D29" s="10">
        <v>40</v>
      </c>
      <c r="E29" s="15">
        <f t="shared" si="0"/>
        <v>40</v>
      </c>
      <c r="F29" s="10">
        <v>10</v>
      </c>
      <c r="G29" s="10" t="s">
        <v>36</v>
      </c>
      <c r="H29" s="16" t="str">
        <f t="shared" si="1"/>
        <v>Kitchen</v>
      </c>
    </row>
    <row r="30" spans="1:8" x14ac:dyDescent="0.2">
      <c r="A30" s="9" t="s">
        <v>108</v>
      </c>
      <c r="B30" s="9" t="s">
        <v>93</v>
      </c>
      <c r="C30" s="9" t="s">
        <v>109</v>
      </c>
      <c r="D30" s="9">
        <v>130</v>
      </c>
      <c r="E30" s="14">
        <f t="shared" si="0"/>
        <v>130</v>
      </c>
      <c r="F30" s="9">
        <v>5</v>
      </c>
      <c r="G30" s="9" t="s">
        <v>28</v>
      </c>
      <c r="H30" s="16" t="str">
        <f t="shared" si="1"/>
        <v>Electronics</v>
      </c>
    </row>
    <row r="31" spans="1:8" x14ac:dyDescent="0.2">
      <c r="A31" s="10" t="s">
        <v>110</v>
      </c>
      <c r="B31" s="10" t="s">
        <v>111</v>
      </c>
      <c r="C31" s="10" t="s">
        <v>112</v>
      </c>
      <c r="D31" s="10">
        <v>50</v>
      </c>
      <c r="E31" s="15">
        <f t="shared" si="0"/>
        <v>50</v>
      </c>
      <c r="F31" s="10">
        <v>50</v>
      </c>
      <c r="G31" s="10" t="s">
        <v>32</v>
      </c>
      <c r="H31" s="16" t="str">
        <f t="shared" si="1"/>
        <v>Fashion</v>
      </c>
    </row>
    <row r="32" spans="1:8" x14ac:dyDescent="0.2">
      <c r="A32" s="10" t="s">
        <v>113</v>
      </c>
      <c r="B32" s="10" t="s">
        <v>114</v>
      </c>
      <c r="C32" s="10" t="s">
        <v>115</v>
      </c>
      <c r="D32" s="10">
        <v>100</v>
      </c>
      <c r="E32" s="15">
        <f t="shared" si="0"/>
        <v>100</v>
      </c>
      <c r="F32" s="10">
        <v>20</v>
      </c>
      <c r="G32" s="10" t="s">
        <v>75</v>
      </c>
      <c r="H32" s="16" t="str">
        <f t="shared" si="1"/>
        <v>Accessories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7658-9289-4569-AE93-7F4B389006D6}">
  <dimension ref="A1:F32"/>
  <sheetViews>
    <sheetView workbookViewId="0">
      <selection activeCell="I9" sqref="I9"/>
    </sheetView>
  </sheetViews>
  <sheetFormatPr defaultRowHeight="12.75" x14ac:dyDescent="0.2"/>
  <cols>
    <col min="1" max="1" width="15" bestFit="1" customWidth="1"/>
    <col min="2" max="2" width="18.5703125" bestFit="1" customWidth="1"/>
    <col min="3" max="3" width="16.85546875" bestFit="1" customWidth="1"/>
    <col min="4" max="4" width="13" bestFit="1" customWidth="1"/>
    <col min="5" max="5" width="13.140625" bestFit="1" customWidth="1"/>
    <col min="6" max="6" width="13.7109375" bestFit="1" customWidth="1"/>
  </cols>
  <sheetData>
    <row r="1" spans="1:6" x14ac:dyDescent="0.2">
      <c r="A1" s="17" t="s">
        <v>19</v>
      </c>
      <c r="B1" s="25" t="s">
        <v>20</v>
      </c>
      <c r="C1" s="17" t="s">
        <v>21</v>
      </c>
      <c r="D1" s="19" t="s">
        <v>22</v>
      </c>
      <c r="E1" s="17" t="s">
        <v>23</v>
      </c>
      <c r="F1" s="27" t="s">
        <v>24</v>
      </c>
    </row>
    <row r="2" spans="1:6" x14ac:dyDescent="0.2">
      <c r="A2" s="9" t="s">
        <v>25</v>
      </c>
      <c r="B2" s="26" t="s">
        <v>61</v>
      </c>
      <c r="C2" s="9" t="s">
        <v>27</v>
      </c>
      <c r="D2" s="18">
        <v>1000</v>
      </c>
      <c r="E2" s="9">
        <v>30</v>
      </c>
      <c r="F2" s="28" t="s">
        <v>28</v>
      </c>
    </row>
    <row r="3" spans="1:6" x14ac:dyDescent="0.2">
      <c r="A3" s="9" t="s">
        <v>29</v>
      </c>
      <c r="B3" s="26" t="s">
        <v>30</v>
      </c>
      <c r="C3" s="9" t="s">
        <v>31</v>
      </c>
      <c r="D3" s="18">
        <v>80</v>
      </c>
      <c r="E3" s="9">
        <v>15</v>
      </c>
      <c r="F3" s="28" t="s">
        <v>32</v>
      </c>
    </row>
    <row r="4" spans="1:6" x14ac:dyDescent="0.2">
      <c r="A4" s="9" t="s">
        <v>33</v>
      </c>
      <c r="B4" s="26" t="s">
        <v>34</v>
      </c>
      <c r="C4" s="9" t="s">
        <v>35</v>
      </c>
      <c r="D4" s="18">
        <v>130</v>
      </c>
      <c r="E4" s="9">
        <v>40</v>
      </c>
      <c r="F4" s="28" t="s">
        <v>36</v>
      </c>
    </row>
    <row r="5" spans="1:6" x14ac:dyDescent="0.2">
      <c r="A5" s="9" t="s">
        <v>37</v>
      </c>
      <c r="B5" s="26" t="s">
        <v>96</v>
      </c>
      <c r="C5" s="9" t="s">
        <v>39</v>
      </c>
      <c r="D5" s="18">
        <v>900</v>
      </c>
      <c r="E5" s="9">
        <v>25</v>
      </c>
      <c r="F5" s="28" t="s">
        <v>28</v>
      </c>
    </row>
    <row r="6" spans="1:6" x14ac:dyDescent="0.2">
      <c r="A6" s="9" t="s">
        <v>40</v>
      </c>
      <c r="B6" s="26" t="s">
        <v>41</v>
      </c>
      <c r="C6" s="9" t="s">
        <v>42</v>
      </c>
      <c r="D6" s="18">
        <v>70</v>
      </c>
      <c r="E6" s="9">
        <v>20</v>
      </c>
      <c r="F6" s="28" t="s">
        <v>75</v>
      </c>
    </row>
    <row r="7" spans="1:6" x14ac:dyDescent="0.2">
      <c r="A7" s="9" t="s">
        <v>43</v>
      </c>
      <c r="B7" s="26" t="s">
        <v>44</v>
      </c>
      <c r="C7" s="9" t="s">
        <v>45</v>
      </c>
      <c r="D7" s="18">
        <v>592.72727272727275</v>
      </c>
      <c r="E7" s="9">
        <v>45</v>
      </c>
      <c r="F7" s="28" t="s">
        <v>28</v>
      </c>
    </row>
    <row r="8" spans="1:6" x14ac:dyDescent="0.2">
      <c r="A8" s="9" t="s">
        <v>47</v>
      </c>
      <c r="B8" s="26" t="s">
        <v>117</v>
      </c>
      <c r="C8" s="9" t="s">
        <v>49</v>
      </c>
      <c r="D8" s="18">
        <v>30</v>
      </c>
      <c r="E8" s="9">
        <v>5</v>
      </c>
      <c r="F8" s="28" t="s">
        <v>32</v>
      </c>
    </row>
    <row r="9" spans="1:6" x14ac:dyDescent="0.2">
      <c r="A9" s="9" t="s">
        <v>50</v>
      </c>
      <c r="B9" s="26" t="s">
        <v>51</v>
      </c>
      <c r="C9" s="9" t="s">
        <v>52</v>
      </c>
      <c r="D9" s="18">
        <v>90</v>
      </c>
      <c r="E9" s="9">
        <v>35</v>
      </c>
      <c r="F9" s="28" t="s">
        <v>36</v>
      </c>
    </row>
    <row r="10" spans="1:6" x14ac:dyDescent="0.2">
      <c r="A10" s="9" t="s">
        <v>53</v>
      </c>
      <c r="B10" s="26" t="s">
        <v>54</v>
      </c>
      <c r="C10" s="9" t="s">
        <v>55</v>
      </c>
      <c r="D10" s="18">
        <v>500</v>
      </c>
      <c r="E10" s="9">
        <v>50</v>
      </c>
      <c r="F10" s="28" t="s">
        <v>28</v>
      </c>
    </row>
    <row r="11" spans="1:6" x14ac:dyDescent="0.2">
      <c r="A11" s="9" t="s">
        <v>56</v>
      </c>
      <c r="B11" s="26" t="s">
        <v>57</v>
      </c>
      <c r="C11" s="9" t="s">
        <v>58</v>
      </c>
      <c r="D11" s="18">
        <v>130</v>
      </c>
      <c r="E11" s="9">
        <v>10</v>
      </c>
      <c r="F11" s="28" t="s">
        <v>59</v>
      </c>
    </row>
    <row r="12" spans="1:6" x14ac:dyDescent="0.2">
      <c r="A12" s="9" t="s">
        <v>60</v>
      </c>
      <c r="B12" s="26" t="s">
        <v>61</v>
      </c>
      <c r="C12" s="9" t="s">
        <v>62</v>
      </c>
      <c r="D12" s="18">
        <v>950</v>
      </c>
      <c r="E12" s="9">
        <v>25</v>
      </c>
      <c r="F12" s="28" t="s">
        <v>28</v>
      </c>
    </row>
    <row r="13" spans="1:6" x14ac:dyDescent="0.2">
      <c r="A13" s="9" t="s">
        <v>63</v>
      </c>
      <c r="B13" s="26" t="s">
        <v>30</v>
      </c>
      <c r="C13" s="9" t="s">
        <v>49</v>
      </c>
      <c r="D13" s="18">
        <v>90</v>
      </c>
      <c r="E13" s="9">
        <v>40</v>
      </c>
      <c r="F13" s="28" t="s">
        <v>32</v>
      </c>
    </row>
    <row r="14" spans="1:6" x14ac:dyDescent="0.2">
      <c r="A14" s="9" t="s">
        <v>64</v>
      </c>
      <c r="B14" s="26" t="s">
        <v>34</v>
      </c>
      <c r="C14" s="9" t="s">
        <v>65</v>
      </c>
      <c r="D14" s="18">
        <v>120</v>
      </c>
      <c r="E14" s="9">
        <v>35</v>
      </c>
      <c r="F14" s="28" t="s">
        <v>36</v>
      </c>
    </row>
    <row r="15" spans="1:6" x14ac:dyDescent="0.2">
      <c r="A15" s="9" t="s">
        <v>66</v>
      </c>
      <c r="B15" s="26" t="s">
        <v>67</v>
      </c>
      <c r="C15" s="9" t="s">
        <v>68</v>
      </c>
      <c r="D15" s="18">
        <v>150</v>
      </c>
      <c r="E15" s="9">
        <v>15</v>
      </c>
      <c r="F15" s="28" t="s">
        <v>28</v>
      </c>
    </row>
    <row r="16" spans="1:6" x14ac:dyDescent="0.2">
      <c r="A16" s="9" t="s">
        <v>69</v>
      </c>
      <c r="B16" s="26" t="s">
        <v>44</v>
      </c>
      <c r="C16" s="9" t="s">
        <v>71</v>
      </c>
      <c r="D16" s="18">
        <v>250</v>
      </c>
      <c r="E16" s="9">
        <v>20</v>
      </c>
      <c r="F16" s="28" t="s">
        <v>28</v>
      </c>
    </row>
    <row r="17" spans="1:6" x14ac:dyDescent="0.2">
      <c r="A17" s="9" t="s">
        <v>72</v>
      </c>
      <c r="B17" s="26" t="s">
        <v>73</v>
      </c>
      <c r="C17" s="9" t="s">
        <v>74</v>
      </c>
      <c r="D17" s="18">
        <v>50</v>
      </c>
      <c r="E17" s="9">
        <v>35</v>
      </c>
      <c r="F17" s="28" t="s">
        <v>75</v>
      </c>
    </row>
    <row r="18" spans="1:6" x14ac:dyDescent="0.2">
      <c r="A18" s="9" t="s">
        <v>76</v>
      </c>
      <c r="B18" s="26" t="s">
        <v>67</v>
      </c>
      <c r="C18" s="9" t="s">
        <v>77</v>
      </c>
      <c r="D18" s="18">
        <v>160</v>
      </c>
      <c r="E18" s="9">
        <v>15</v>
      </c>
      <c r="F18" s="28" t="s">
        <v>28</v>
      </c>
    </row>
    <row r="19" spans="1:6" x14ac:dyDescent="0.2">
      <c r="A19" s="9" t="s">
        <v>78</v>
      </c>
      <c r="B19" s="26" t="s">
        <v>61</v>
      </c>
      <c r="C19" s="9" t="s">
        <v>79</v>
      </c>
      <c r="D19" s="18">
        <v>980</v>
      </c>
      <c r="E19" s="9">
        <v>10</v>
      </c>
      <c r="F19" s="28" t="s">
        <v>28</v>
      </c>
    </row>
    <row r="20" spans="1:6" x14ac:dyDescent="0.2">
      <c r="A20" s="9" t="s">
        <v>80</v>
      </c>
      <c r="B20" s="26" t="s">
        <v>81</v>
      </c>
      <c r="C20" s="9" t="s">
        <v>82</v>
      </c>
      <c r="D20" s="18">
        <v>150</v>
      </c>
      <c r="E20" s="9">
        <v>15</v>
      </c>
      <c r="F20" s="28" t="s">
        <v>32</v>
      </c>
    </row>
    <row r="21" spans="1:6" x14ac:dyDescent="0.2">
      <c r="A21" s="9" t="s">
        <v>83</v>
      </c>
      <c r="B21" s="26" t="s">
        <v>84</v>
      </c>
      <c r="C21" s="9" t="s">
        <v>85</v>
      </c>
      <c r="D21" s="18">
        <v>130</v>
      </c>
      <c r="E21" s="9">
        <v>10</v>
      </c>
      <c r="F21" s="28" t="s">
        <v>59</v>
      </c>
    </row>
    <row r="22" spans="1:6" x14ac:dyDescent="0.2">
      <c r="A22" s="9" t="s">
        <v>86</v>
      </c>
      <c r="B22" s="26" t="s">
        <v>87</v>
      </c>
      <c r="C22" s="9" t="s">
        <v>88</v>
      </c>
      <c r="D22" s="18">
        <v>700</v>
      </c>
      <c r="E22" s="9">
        <v>50</v>
      </c>
      <c r="F22" s="28" t="s">
        <v>28</v>
      </c>
    </row>
    <row r="23" spans="1:6" x14ac:dyDescent="0.2">
      <c r="A23" s="9" t="s">
        <v>89</v>
      </c>
      <c r="B23" s="26" t="s">
        <v>90</v>
      </c>
      <c r="C23" s="9" t="s">
        <v>91</v>
      </c>
      <c r="D23" s="18">
        <v>80</v>
      </c>
      <c r="E23" s="9">
        <v>20</v>
      </c>
      <c r="F23" s="28" t="s">
        <v>36</v>
      </c>
    </row>
    <row r="24" spans="1:6" x14ac:dyDescent="0.2">
      <c r="A24" s="9" t="s">
        <v>92</v>
      </c>
      <c r="B24" s="26" t="s">
        <v>93</v>
      </c>
      <c r="C24" s="9" t="s">
        <v>94</v>
      </c>
      <c r="D24" s="18">
        <v>150</v>
      </c>
      <c r="E24" s="9">
        <v>30</v>
      </c>
      <c r="F24" s="28" t="s">
        <v>28</v>
      </c>
    </row>
    <row r="25" spans="1:6" x14ac:dyDescent="0.2">
      <c r="A25" s="9" t="s">
        <v>95</v>
      </c>
      <c r="B25" s="26" t="s">
        <v>96</v>
      </c>
      <c r="C25" s="9" t="s">
        <v>97</v>
      </c>
      <c r="D25" s="18">
        <v>800</v>
      </c>
      <c r="E25" s="9">
        <v>45</v>
      </c>
      <c r="F25" s="28" t="s">
        <v>28</v>
      </c>
    </row>
    <row r="26" spans="1:6" x14ac:dyDescent="0.2">
      <c r="A26" s="9" t="s">
        <v>98</v>
      </c>
      <c r="B26" s="26" t="s">
        <v>81</v>
      </c>
      <c r="C26" s="9" t="s">
        <v>99</v>
      </c>
      <c r="D26" s="18">
        <v>74</v>
      </c>
      <c r="E26" s="9">
        <v>25</v>
      </c>
      <c r="F26" s="28" t="s">
        <v>32</v>
      </c>
    </row>
    <row r="27" spans="1:6" x14ac:dyDescent="0.2">
      <c r="A27" s="9" t="s">
        <v>100</v>
      </c>
      <c r="B27" s="26" t="s">
        <v>51</v>
      </c>
      <c r="C27" s="9" t="s">
        <v>101</v>
      </c>
      <c r="D27" s="18">
        <v>400</v>
      </c>
      <c r="E27" s="9">
        <v>40</v>
      </c>
      <c r="F27" s="28" t="s">
        <v>36</v>
      </c>
    </row>
    <row r="28" spans="1:6" x14ac:dyDescent="0.2">
      <c r="A28" s="9" t="s">
        <v>102</v>
      </c>
      <c r="B28" s="26" t="s">
        <v>103</v>
      </c>
      <c r="C28" s="9" t="s">
        <v>104</v>
      </c>
      <c r="D28" s="18">
        <v>60</v>
      </c>
      <c r="E28" s="9">
        <v>30</v>
      </c>
      <c r="F28" s="28" t="s">
        <v>32</v>
      </c>
    </row>
    <row r="29" spans="1:6" x14ac:dyDescent="0.2">
      <c r="A29" s="9" t="s">
        <v>105</v>
      </c>
      <c r="B29" s="26" t="s">
        <v>106</v>
      </c>
      <c r="C29" s="9" t="s">
        <v>107</v>
      </c>
      <c r="D29" s="18">
        <v>40</v>
      </c>
      <c r="E29" s="9">
        <v>10</v>
      </c>
      <c r="F29" s="28" t="s">
        <v>36</v>
      </c>
    </row>
    <row r="30" spans="1:6" x14ac:dyDescent="0.2">
      <c r="A30" s="9" t="s">
        <v>108</v>
      </c>
      <c r="B30" s="26" t="s">
        <v>93</v>
      </c>
      <c r="C30" s="9" t="s">
        <v>109</v>
      </c>
      <c r="D30" s="18">
        <v>130</v>
      </c>
      <c r="E30" s="9">
        <v>5</v>
      </c>
      <c r="F30" s="28" t="s">
        <v>28</v>
      </c>
    </row>
    <row r="31" spans="1:6" x14ac:dyDescent="0.2">
      <c r="A31" s="9" t="s">
        <v>110</v>
      </c>
      <c r="B31" s="26" t="s">
        <v>111</v>
      </c>
      <c r="C31" s="9" t="s">
        <v>112</v>
      </c>
      <c r="D31" s="18">
        <v>50</v>
      </c>
      <c r="E31" s="9">
        <v>50</v>
      </c>
      <c r="F31" s="28" t="s">
        <v>32</v>
      </c>
    </row>
    <row r="32" spans="1:6" x14ac:dyDescent="0.2">
      <c r="A32" s="9" t="s">
        <v>113</v>
      </c>
      <c r="B32" s="26" t="s">
        <v>114</v>
      </c>
      <c r="C32" s="9" t="s">
        <v>115</v>
      </c>
      <c r="D32" s="18">
        <v>100</v>
      </c>
      <c r="E32" s="9">
        <v>20</v>
      </c>
      <c r="F32" s="28" t="s">
        <v>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E1A4-AAD4-4F3F-96E8-5B25CECA0729}">
  <dimension ref="A1:F32"/>
  <sheetViews>
    <sheetView workbookViewId="0">
      <selection activeCell="J18" sqref="J18"/>
    </sheetView>
  </sheetViews>
  <sheetFormatPr defaultRowHeight="12.75" x14ac:dyDescent="0.2"/>
  <cols>
    <col min="1" max="1" width="15" bestFit="1" customWidth="1"/>
    <col min="2" max="2" width="18.5703125" bestFit="1" customWidth="1"/>
    <col min="3" max="3" width="16.85546875" bestFit="1" customWidth="1"/>
    <col min="4" max="4" width="13" bestFit="1" customWidth="1"/>
    <col min="5" max="5" width="13.140625" bestFit="1" customWidth="1"/>
    <col min="6" max="6" width="13.7109375" bestFit="1" customWidth="1"/>
  </cols>
  <sheetData>
    <row r="1" spans="1:6" x14ac:dyDescent="0.2">
      <c r="A1" s="17" t="s">
        <v>19</v>
      </c>
      <c r="B1" s="21" t="s">
        <v>20</v>
      </c>
      <c r="C1" s="17" t="s">
        <v>21</v>
      </c>
      <c r="D1" s="19" t="s">
        <v>22</v>
      </c>
      <c r="E1" s="17" t="s">
        <v>23</v>
      </c>
      <c r="F1" s="20" t="s">
        <v>24</v>
      </c>
    </row>
    <row r="2" spans="1:6" x14ac:dyDescent="0.2">
      <c r="A2" s="9" t="s">
        <v>25</v>
      </c>
      <c r="B2" s="9" t="s">
        <v>61</v>
      </c>
      <c r="C2" s="9" t="s">
        <v>27</v>
      </c>
      <c r="D2" s="18">
        <v>1000</v>
      </c>
      <c r="E2" s="9">
        <v>30</v>
      </c>
      <c r="F2" s="9" t="s">
        <v>28</v>
      </c>
    </row>
    <row r="3" spans="1:6" x14ac:dyDescent="0.2">
      <c r="A3" s="9" t="s">
        <v>29</v>
      </c>
      <c r="B3" s="9" t="s">
        <v>30</v>
      </c>
      <c r="C3" s="9" t="s">
        <v>31</v>
      </c>
      <c r="D3" s="18">
        <v>80</v>
      </c>
      <c r="E3" s="9">
        <v>15</v>
      </c>
      <c r="F3" s="9" t="s">
        <v>32</v>
      </c>
    </row>
    <row r="4" spans="1:6" x14ac:dyDescent="0.2">
      <c r="A4" s="9" t="s">
        <v>33</v>
      </c>
      <c r="B4" s="9" t="s">
        <v>34</v>
      </c>
      <c r="C4" s="9" t="s">
        <v>35</v>
      </c>
      <c r="D4" s="18">
        <v>130</v>
      </c>
      <c r="E4" s="9">
        <v>40</v>
      </c>
      <c r="F4" s="9" t="s">
        <v>36</v>
      </c>
    </row>
    <row r="5" spans="1:6" x14ac:dyDescent="0.2">
      <c r="A5" s="9" t="s">
        <v>37</v>
      </c>
      <c r="B5" s="9" t="s">
        <v>96</v>
      </c>
      <c r="C5" s="9" t="s">
        <v>39</v>
      </c>
      <c r="D5" s="18">
        <v>900</v>
      </c>
      <c r="E5" s="9">
        <v>25</v>
      </c>
      <c r="F5" s="9" t="s">
        <v>28</v>
      </c>
    </row>
    <row r="6" spans="1:6" x14ac:dyDescent="0.2">
      <c r="A6" s="9" t="s">
        <v>40</v>
      </c>
      <c r="B6" s="9" t="s">
        <v>41</v>
      </c>
      <c r="C6" s="9" t="s">
        <v>42</v>
      </c>
      <c r="D6" s="18">
        <v>70</v>
      </c>
      <c r="E6" s="9">
        <v>20</v>
      </c>
      <c r="F6" s="9" t="s">
        <v>75</v>
      </c>
    </row>
    <row r="7" spans="1:6" x14ac:dyDescent="0.2">
      <c r="A7" s="9" t="s">
        <v>43</v>
      </c>
      <c r="B7" s="9" t="s">
        <v>44</v>
      </c>
      <c r="C7" s="9" t="s">
        <v>45</v>
      </c>
      <c r="D7" s="18">
        <v>592.72727272727275</v>
      </c>
      <c r="E7" s="9">
        <v>45</v>
      </c>
      <c r="F7" s="9" t="s">
        <v>28</v>
      </c>
    </row>
    <row r="8" spans="1:6" x14ac:dyDescent="0.2">
      <c r="A8" s="9" t="s">
        <v>47</v>
      </c>
      <c r="B8" s="9" t="s">
        <v>117</v>
      </c>
      <c r="C8" s="9" t="s">
        <v>49</v>
      </c>
      <c r="D8" s="18">
        <v>30</v>
      </c>
      <c r="E8" s="9">
        <v>5</v>
      </c>
      <c r="F8" s="9" t="s">
        <v>32</v>
      </c>
    </row>
    <row r="9" spans="1:6" x14ac:dyDescent="0.2">
      <c r="A9" s="9" t="s">
        <v>50</v>
      </c>
      <c r="B9" s="9" t="s">
        <v>51</v>
      </c>
      <c r="C9" s="9" t="s">
        <v>52</v>
      </c>
      <c r="D9" s="18">
        <v>90</v>
      </c>
      <c r="E9" s="9">
        <v>35</v>
      </c>
      <c r="F9" s="9" t="s">
        <v>36</v>
      </c>
    </row>
    <row r="10" spans="1:6" x14ac:dyDescent="0.2">
      <c r="A10" s="9" t="s">
        <v>53</v>
      </c>
      <c r="B10" s="9" t="s">
        <v>54</v>
      </c>
      <c r="C10" s="9" t="s">
        <v>55</v>
      </c>
      <c r="D10" s="18">
        <v>500</v>
      </c>
      <c r="E10" s="9">
        <v>50</v>
      </c>
      <c r="F10" s="9" t="s">
        <v>28</v>
      </c>
    </row>
    <row r="11" spans="1:6" x14ac:dyDescent="0.2">
      <c r="A11" s="9" t="s">
        <v>56</v>
      </c>
      <c r="B11" s="9" t="s">
        <v>57</v>
      </c>
      <c r="C11" s="9" t="s">
        <v>58</v>
      </c>
      <c r="D11" s="18">
        <v>130</v>
      </c>
      <c r="E11" s="9">
        <v>10</v>
      </c>
      <c r="F11" s="9" t="s">
        <v>59</v>
      </c>
    </row>
    <row r="12" spans="1:6" x14ac:dyDescent="0.2">
      <c r="A12" s="9" t="s">
        <v>60</v>
      </c>
      <c r="B12" s="9" t="s">
        <v>61</v>
      </c>
      <c r="C12" s="9" t="s">
        <v>62</v>
      </c>
      <c r="D12" s="18">
        <v>950</v>
      </c>
      <c r="E12" s="9">
        <v>25</v>
      </c>
      <c r="F12" s="9" t="s">
        <v>28</v>
      </c>
    </row>
    <row r="13" spans="1:6" x14ac:dyDescent="0.2">
      <c r="A13" s="9" t="s">
        <v>63</v>
      </c>
      <c r="B13" s="9" t="s">
        <v>30</v>
      </c>
      <c r="C13" s="9" t="s">
        <v>49</v>
      </c>
      <c r="D13" s="18">
        <v>90</v>
      </c>
      <c r="E13" s="9">
        <v>40</v>
      </c>
      <c r="F13" s="9" t="s">
        <v>32</v>
      </c>
    </row>
    <row r="14" spans="1:6" x14ac:dyDescent="0.2">
      <c r="A14" s="9" t="s">
        <v>64</v>
      </c>
      <c r="B14" s="9" t="s">
        <v>34</v>
      </c>
      <c r="C14" s="9" t="s">
        <v>65</v>
      </c>
      <c r="D14" s="18">
        <v>120</v>
      </c>
      <c r="E14" s="9">
        <v>35</v>
      </c>
      <c r="F14" s="9" t="s">
        <v>36</v>
      </c>
    </row>
    <row r="15" spans="1:6" x14ac:dyDescent="0.2">
      <c r="A15" s="9" t="s">
        <v>66</v>
      </c>
      <c r="B15" s="9" t="s">
        <v>67</v>
      </c>
      <c r="C15" s="9" t="s">
        <v>68</v>
      </c>
      <c r="D15" s="18">
        <v>150</v>
      </c>
      <c r="E15" s="9">
        <v>15</v>
      </c>
      <c r="F15" s="9" t="s">
        <v>28</v>
      </c>
    </row>
    <row r="16" spans="1:6" x14ac:dyDescent="0.2">
      <c r="A16" s="9" t="s">
        <v>69</v>
      </c>
      <c r="B16" s="9" t="s">
        <v>44</v>
      </c>
      <c r="C16" s="9" t="s">
        <v>71</v>
      </c>
      <c r="D16" s="18">
        <v>250</v>
      </c>
      <c r="E16" s="9">
        <v>20</v>
      </c>
      <c r="F16" s="9" t="s">
        <v>28</v>
      </c>
    </row>
    <row r="17" spans="1:6" x14ac:dyDescent="0.2">
      <c r="A17" s="9" t="s">
        <v>72</v>
      </c>
      <c r="B17" s="9" t="s">
        <v>73</v>
      </c>
      <c r="C17" s="9" t="s">
        <v>74</v>
      </c>
      <c r="D17" s="18">
        <v>50</v>
      </c>
      <c r="E17" s="9">
        <v>35</v>
      </c>
      <c r="F17" s="9" t="s">
        <v>75</v>
      </c>
    </row>
    <row r="18" spans="1:6" x14ac:dyDescent="0.2">
      <c r="A18" s="9" t="s">
        <v>76</v>
      </c>
      <c r="B18" s="9" t="s">
        <v>67</v>
      </c>
      <c r="C18" s="9" t="s">
        <v>77</v>
      </c>
      <c r="D18" s="18">
        <v>160</v>
      </c>
      <c r="E18" s="9">
        <v>15</v>
      </c>
      <c r="F18" s="9" t="s">
        <v>28</v>
      </c>
    </row>
    <row r="19" spans="1:6" x14ac:dyDescent="0.2">
      <c r="A19" s="9" t="s">
        <v>78</v>
      </c>
      <c r="B19" s="9" t="s">
        <v>61</v>
      </c>
      <c r="C19" s="9" t="s">
        <v>79</v>
      </c>
      <c r="D19" s="18">
        <v>980</v>
      </c>
      <c r="E19" s="9">
        <v>10</v>
      </c>
      <c r="F19" s="9" t="s">
        <v>28</v>
      </c>
    </row>
    <row r="20" spans="1:6" x14ac:dyDescent="0.2">
      <c r="A20" s="9" t="s">
        <v>80</v>
      </c>
      <c r="B20" s="9" t="s">
        <v>81</v>
      </c>
      <c r="C20" s="9" t="s">
        <v>82</v>
      </c>
      <c r="D20" s="18">
        <v>150</v>
      </c>
      <c r="E20" s="9">
        <v>15</v>
      </c>
      <c r="F20" s="9" t="s">
        <v>32</v>
      </c>
    </row>
    <row r="21" spans="1:6" x14ac:dyDescent="0.2">
      <c r="A21" s="9" t="s">
        <v>83</v>
      </c>
      <c r="B21" s="9" t="s">
        <v>84</v>
      </c>
      <c r="C21" s="9" t="s">
        <v>85</v>
      </c>
      <c r="D21" s="18">
        <v>130</v>
      </c>
      <c r="E21" s="9">
        <v>10</v>
      </c>
      <c r="F21" s="9" t="s">
        <v>59</v>
      </c>
    </row>
    <row r="22" spans="1:6" x14ac:dyDescent="0.2">
      <c r="A22" s="9" t="s">
        <v>86</v>
      </c>
      <c r="B22" s="9" t="s">
        <v>87</v>
      </c>
      <c r="C22" s="9" t="s">
        <v>88</v>
      </c>
      <c r="D22" s="18">
        <v>700</v>
      </c>
      <c r="E22" s="9">
        <v>50</v>
      </c>
      <c r="F22" s="9" t="s">
        <v>28</v>
      </c>
    </row>
    <row r="23" spans="1:6" x14ac:dyDescent="0.2">
      <c r="A23" s="9" t="s">
        <v>89</v>
      </c>
      <c r="B23" s="9" t="s">
        <v>90</v>
      </c>
      <c r="C23" s="9" t="s">
        <v>91</v>
      </c>
      <c r="D23" s="18">
        <v>80</v>
      </c>
      <c r="E23" s="9">
        <v>20</v>
      </c>
      <c r="F23" s="9" t="s">
        <v>36</v>
      </c>
    </row>
    <row r="24" spans="1:6" x14ac:dyDescent="0.2">
      <c r="A24" s="9" t="s">
        <v>92</v>
      </c>
      <c r="B24" s="9" t="s">
        <v>93</v>
      </c>
      <c r="C24" s="9" t="s">
        <v>94</v>
      </c>
      <c r="D24" s="18">
        <v>150</v>
      </c>
      <c r="E24" s="9">
        <v>30</v>
      </c>
      <c r="F24" s="9" t="s">
        <v>28</v>
      </c>
    </row>
    <row r="25" spans="1:6" x14ac:dyDescent="0.2">
      <c r="A25" s="9" t="s">
        <v>95</v>
      </c>
      <c r="B25" s="9" t="s">
        <v>96</v>
      </c>
      <c r="C25" s="9" t="s">
        <v>97</v>
      </c>
      <c r="D25" s="18">
        <v>800</v>
      </c>
      <c r="E25" s="9">
        <v>45</v>
      </c>
      <c r="F25" s="9" t="s">
        <v>28</v>
      </c>
    </row>
    <row r="26" spans="1:6" x14ac:dyDescent="0.2">
      <c r="A26" s="9" t="s">
        <v>98</v>
      </c>
      <c r="B26" s="9" t="s">
        <v>81</v>
      </c>
      <c r="C26" s="9" t="s">
        <v>99</v>
      </c>
      <c r="D26" s="18">
        <v>74</v>
      </c>
      <c r="E26" s="9">
        <v>25</v>
      </c>
      <c r="F26" s="9" t="s">
        <v>32</v>
      </c>
    </row>
    <row r="27" spans="1:6" x14ac:dyDescent="0.2">
      <c r="A27" s="9" t="s">
        <v>100</v>
      </c>
      <c r="B27" s="9" t="s">
        <v>51</v>
      </c>
      <c r="C27" s="9" t="s">
        <v>101</v>
      </c>
      <c r="D27" s="18">
        <v>400</v>
      </c>
      <c r="E27" s="9">
        <v>40</v>
      </c>
      <c r="F27" s="9" t="s">
        <v>36</v>
      </c>
    </row>
    <row r="28" spans="1:6" x14ac:dyDescent="0.2">
      <c r="A28" s="9" t="s">
        <v>102</v>
      </c>
      <c r="B28" s="9" t="s">
        <v>103</v>
      </c>
      <c r="C28" s="9" t="s">
        <v>104</v>
      </c>
      <c r="D28" s="18">
        <v>60</v>
      </c>
      <c r="E28" s="9">
        <v>30</v>
      </c>
      <c r="F28" s="9" t="s">
        <v>32</v>
      </c>
    </row>
    <row r="29" spans="1:6" x14ac:dyDescent="0.2">
      <c r="A29" s="9" t="s">
        <v>105</v>
      </c>
      <c r="B29" s="9" t="s">
        <v>106</v>
      </c>
      <c r="C29" s="9" t="s">
        <v>107</v>
      </c>
      <c r="D29" s="18">
        <v>40</v>
      </c>
      <c r="E29" s="9">
        <v>10</v>
      </c>
      <c r="F29" s="9" t="s">
        <v>36</v>
      </c>
    </row>
    <row r="30" spans="1:6" x14ac:dyDescent="0.2">
      <c r="A30" s="9" t="s">
        <v>108</v>
      </c>
      <c r="B30" s="9" t="s">
        <v>93</v>
      </c>
      <c r="C30" s="9" t="s">
        <v>109</v>
      </c>
      <c r="D30" s="18">
        <v>130</v>
      </c>
      <c r="E30" s="9">
        <v>5</v>
      </c>
      <c r="F30" s="9" t="s">
        <v>28</v>
      </c>
    </row>
    <row r="31" spans="1:6" x14ac:dyDescent="0.2">
      <c r="A31" s="9" t="s">
        <v>110</v>
      </c>
      <c r="B31" s="9" t="s">
        <v>111</v>
      </c>
      <c r="C31" s="9" t="s">
        <v>112</v>
      </c>
      <c r="D31" s="18">
        <v>50</v>
      </c>
      <c r="E31" s="9">
        <v>50</v>
      </c>
      <c r="F31" s="9" t="s">
        <v>32</v>
      </c>
    </row>
    <row r="32" spans="1:6" x14ac:dyDescent="0.2">
      <c r="A32" s="9" t="s">
        <v>113</v>
      </c>
      <c r="B32" s="9" t="s">
        <v>114</v>
      </c>
      <c r="C32" s="9" t="s">
        <v>115</v>
      </c>
      <c r="D32" s="18">
        <v>100</v>
      </c>
      <c r="E32" s="9">
        <v>20</v>
      </c>
      <c r="F32" s="9" t="s">
        <v>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6EE5-5D36-48D0-A684-77EFE70CB599}">
  <dimension ref="A1:I32"/>
  <sheetViews>
    <sheetView workbookViewId="0">
      <selection activeCell="D1" sqref="D1"/>
    </sheetView>
  </sheetViews>
  <sheetFormatPr defaultRowHeight="12.75" x14ac:dyDescent="0.2"/>
  <cols>
    <col min="1" max="1" width="15" bestFit="1" customWidth="1"/>
    <col min="2" max="2" width="23.5703125" bestFit="1" customWidth="1"/>
    <col min="3" max="3" width="15" customWidth="1"/>
    <col min="4" max="4" width="18.5703125" bestFit="1" customWidth="1"/>
    <col min="5" max="5" width="16.85546875" bestFit="1" customWidth="1"/>
    <col min="6" max="6" width="21.7109375" bestFit="1" customWidth="1"/>
    <col min="7" max="7" width="13" bestFit="1" customWidth="1"/>
    <col min="8" max="8" width="13.140625" bestFit="1" customWidth="1"/>
    <col min="9" max="9" width="13.7109375" bestFit="1" customWidth="1"/>
  </cols>
  <sheetData>
    <row r="1" spans="1:9" x14ac:dyDescent="0.2">
      <c r="A1" s="17" t="s">
        <v>19</v>
      </c>
      <c r="B1" s="31" t="s">
        <v>121</v>
      </c>
      <c r="C1" s="29" t="s">
        <v>122</v>
      </c>
      <c r="D1" s="21" t="s">
        <v>20</v>
      </c>
      <c r="E1" s="17" t="s">
        <v>21</v>
      </c>
      <c r="F1" s="33" t="s">
        <v>120</v>
      </c>
      <c r="G1" s="19" t="s">
        <v>22</v>
      </c>
      <c r="H1" s="17" t="s">
        <v>23</v>
      </c>
      <c r="I1" s="20" t="s">
        <v>24</v>
      </c>
    </row>
    <row r="2" spans="1:9" x14ac:dyDescent="0.2">
      <c r="A2" s="9" t="s">
        <v>25</v>
      </c>
      <c r="B2" s="32" t="str">
        <f t="shared" ref="B2:B32" si="0">LEFT(A2,2)</f>
        <v>28</v>
      </c>
      <c r="C2" s="30" t="str">
        <f t="shared" ref="C2:C32" si="1">RIGHT(A2,2)</f>
        <v>US</v>
      </c>
      <c r="D2" s="9" t="s">
        <v>61</v>
      </c>
      <c r="E2" s="9" t="s">
        <v>27</v>
      </c>
      <c r="F2" s="34" t="str">
        <f t="shared" ref="F2:F32" si="2">CONCATENATE(E2," ",D2)</f>
        <v>Dell Laptop</v>
      </c>
      <c r="G2" s="18">
        <v>1000</v>
      </c>
      <c r="H2" s="9">
        <v>30</v>
      </c>
      <c r="I2" s="9" t="s">
        <v>28</v>
      </c>
    </row>
    <row r="3" spans="1:9" x14ac:dyDescent="0.2">
      <c r="A3" s="9" t="s">
        <v>29</v>
      </c>
      <c r="B3" s="32" t="str">
        <f t="shared" si="0"/>
        <v>15</v>
      </c>
      <c r="C3" s="30" t="str">
        <f t="shared" si="1"/>
        <v>US</v>
      </c>
      <c r="D3" s="9" t="s">
        <v>30</v>
      </c>
      <c r="E3" s="9" t="s">
        <v>31</v>
      </c>
      <c r="F3" s="34" t="str">
        <f t="shared" si="2"/>
        <v>Nike Sneakers</v>
      </c>
      <c r="G3" s="18">
        <v>80</v>
      </c>
      <c r="H3" s="9">
        <v>15</v>
      </c>
      <c r="I3" s="9" t="s">
        <v>32</v>
      </c>
    </row>
    <row r="4" spans="1:9" x14ac:dyDescent="0.2">
      <c r="A4" s="9" t="s">
        <v>33</v>
      </c>
      <c r="B4" s="32" t="str">
        <f t="shared" si="0"/>
        <v>03</v>
      </c>
      <c r="C4" s="30" t="str">
        <f t="shared" si="1"/>
        <v>US</v>
      </c>
      <c r="D4" s="9" t="s">
        <v>34</v>
      </c>
      <c r="E4" s="9" t="s">
        <v>35</v>
      </c>
      <c r="F4" s="34" t="str">
        <f t="shared" si="2"/>
        <v>Keurig Coffee Maker</v>
      </c>
      <c r="G4" s="18">
        <v>130</v>
      </c>
      <c r="H4" s="9">
        <v>40</v>
      </c>
      <c r="I4" s="9" t="s">
        <v>36</v>
      </c>
    </row>
    <row r="5" spans="1:9" x14ac:dyDescent="0.2">
      <c r="A5" s="9" t="s">
        <v>37</v>
      </c>
      <c r="B5" s="32" t="str">
        <f t="shared" si="0"/>
        <v>11</v>
      </c>
      <c r="C5" s="30" t="str">
        <f t="shared" si="1"/>
        <v>US</v>
      </c>
      <c r="D5" s="9" t="s">
        <v>96</v>
      </c>
      <c r="E5" s="9" t="s">
        <v>39</v>
      </c>
      <c r="F5" s="34" t="str">
        <f t="shared" si="2"/>
        <v>Samsung Smartphone</v>
      </c>
      <c r="G5" s="18">
        <v>900</v>
      </c>
      <c r="H5" s="9">
        <v>25</v>
      </c>
      <c r="I5" s="9" t="s">
        <v>28</v>
      </c>
    </row>
    <row r="6" spans="1:9" x14ac:dyDescent="0.2">
      <c r="A6" s="9" t="s">
        <v>40</v>
      </c>
      <c r="B6" s="32" t="str">
        <f t="shared" si="0"/>
        <v>22</v>
      </c>
      <c r="C6" s="30" t="str">
        <f t="shared" si="1"/>
        <v>US</v>
      </c>
      <c r="D6" s="9" t="s">
        <v>41</v>
      </c>
      <c r="E6" s="9" t="s">
        <v>42</v>
      </c>
      <c r="F6" s="34" t="str">
        <f t="shared" si="2"/>
        <v>North Face Backpack</v>
      </c>
      <c r="G6" s="18">
        <v>70</v>
      </c>
      <c r="H6" s="9">
        <v>20</v>
      </c>
      <c r="I6" s="9" t="s">
        <v>75</v>
      </c>
    </row>
    <row r="7" spans="1:9" x14ac:dyDescent="0.2">
      <c r="A7" s="9" t="s">
        <v>43</v>
      </c>
      <c r="B7" s="32" t="str">
        <f t="shared" si="0"/>
        <v>07</v>
      </c>
      <c r="C7" s="30" t="str">
        <f t="shared" si="1"/>
        <v>UK</v>
      </c>
      <c r="D7" s="9" t="s">
        <v>44</v>
      </c>
      <c r="E7" s="9" t="s">
        <v>45</v>
      </c>
      <c r="F7" s="34" t="str">
        <f t="shared" si="2"/>
        <v>Sony Headphones</v>
      </c>
      <c r="G7" s="18">
        <v>592.72727272727275</v>
      </c>
      <c r="H7" s="9">
        <v>45</v>
      </c>
      <c r="I7" s="9" t="s">
        <v>28</v>
      </c>
    </row>
    <row r="8" spans="1:9" x14ac:dyDescent="0.2">
      <c r="A8" s="9" t="s">
        <v>47</v>
      </c>
      <c r="B8" s="32" t="str">
        <f t="shared" si="0"/>
        <v>19</v>
      </c>
      <c r="C8" s="30" t="str">
        <f t="shared" si="1"/>
        <v>UK</v>
      </c>
      <c r="D8" s="9" t="s">
        <v>117</v>
      </c>
      <c r="E8" s="9" t="s">
        <v>49</v>
      </c>
      <c r="F8" s="34" t="str">
        <f t="shared" si="2"/>
        <v>Adidas T-Shirt</v>
      </c>
      <c r="G8" s="18">
        <v>30</v>
      </c>
      <c r="H8" s="9">
        <v>5</v>
      </c>
      <c r="I8" s="9" t="s">
        <v>32</v>
      </c>
    </row>
    <row r="9" spans="1:9" x14ac:dyDescent="0.2">
      <c r="A9" s="9" t="s">
        <v>50</v>
      </c>
      <c r="B9" s="32" t="str">
        <f t="shared" si="0"/>
        <v>23</v>
      </c>
      <c r="C9" s="30" t="str">
        <f t="shared" si="1"/>
        <v>UK</v>
      </c>
      <c r="D9" s="9" t="s">
        <v>51</v>
      </c>
      <c r="E9" s="9" t="s">
        <v>52</v>
      </c>
      <c r="F9" s="34" t="str">
        <f t="shared" si="2"/>
        <v>Ninja Blender</v>
      </c>
      <c r="G9" s="18">
        <v>90</v>
      </c>
      <c r="H9" s="9">
        <v>35</v>
      </c>
      <c r="I9" s="9" t="s">
        <v>36</v>
      </c>
    </row>
    <row r="10" spans="1:9" x14ac:dyDescent="0.2">
      <c r="A10" s="9" t="s">
        <v>53</v>
      </c>
      <c r="B10" s="32" t="str">
        <f t="shared" si="0"/>
        <v>05</v>
      </c>
      <c r="C10" s="30" t="str">
        <f t="shared" si="1"/>
        <v>UK</v>
      </c>
      <c r="D10" s="9" t="s">
        <v>54</v>
      </c>
      <c r="E10" s="9" t="s">
        <v>55</v>
      </c>
      <c r="F10" s="34" t="str">
        <f t="shared" si="2"/>
        <v>Apple Tablet</v>
      </c>
      <c r="G10" s="18">
        <v>500</v>
      </c>
      <c r="H10" s="9">
        <v>50</v>
      </c>
      <c r="I10" s="9" t="s">
        <v>28</v>
      </c>
    </row>
    <row r="11" spans="1:9" x14ac:dyDescent="0.2">
      <c r="A11" s="9" t="s">
        <v>56</v>
      </c>
      <c r="B11" s="32" t="str">
        <f t="shared" si="0"/>
        <v>14</v>
      </c>
      <c r="C11" s="30" t="str">
        <f t="shared" si="1"/>
        <v>UK</v>
      </c>
      <c r="D11" s="9" t="s">
        <v>57</v>
      </c>
      <c r="E11" s="9" t="s">
        <v>58</v>
      </c>
      <c r="F11" s="34" t="str">
        <f t="shared" si="2"/>
        <v>Timberland Hiking Boots</v>
      </c>
      <c r="G11" s="18">
        <v>130</v>
      </c>
      <c r="H11" s="9">
        <v>10</v>
      </c>
      <c r="I11" s="9" t="s">
        <v>59</v>
      </c>
    </row>
    <row r="12" spans="1:9" x14ac:dyDescent="0.2">
      <c r="A12" s="9" t="s">
        <v>60</v>
      </c>
      <c r="B12" s="32" t="str">
        <f t="shared" si="0"/>
        <v>17</v>
      </c>
      <c r="C12" s="30" t="str">
        <f t="shared" si="1"/>
        <v>IN</v>
      </c>
      <c r="D12" s="9" t="s">
        <v>61</v>
      </c>
      <c r="E12" s="9" t="s">
        <v>62</v>
      </c>
      <c r="F12" s="34" t="str">
        <f t="shared" si="2"/>
        <v>HP Laptop</v>
      </c>
      <c r="G12" s="18">
        <v>950</v>
      </c>
      <c r="H12" s="9">
        <v>25</v>
      </c>
      <c r="I12" s="9" t="s">
        <v>28</v>
      </c>
    </row>
    <row r="13" spans="1:9" x14ac:dyDescent="0.2">
      <c r="A13" s="9" t="s">
        <v>63</v>
      </c>
      <c r="B13" s="32" t="str">
        <f t="shared" si="0"/>
        <v>25</v>
      </c>
      <c r="C13" s="30" t="str">
        <f t="shared" si="1"/>
        <v>AU</v>
      </c>
      <c r="D13" s="9" t="s">
        <v>30</v>
      </c>
      <c r="E13" s="9" t="s">
        <v>49</v>
      </c>
      <c r="F13" s="34" t="str">
        <f t="shared" si="2"/>
        <v>Adidas Sneakers</v>
      </c>
      <c r="G13" s="18">
        <v>90</v>
      </c>
      <c r="H13" s="9">
        <v>40</v>
      </c>
      <c r="I13" s="9" t="s">
        <v>32</v>
      </c>
    </row>
    <row r="14" spans="1:9" x14ac:dyDescent="0.2">
      <c r="A14" s="9" t="s">
        <v>64</v>
      </c>
      <c r="B14" s="32" t="str">
        <f t="shared" si="0"/>
        <v>08</v>
      </c>
      <c r="C14" s="30" t="str">
        <f t="shared" si="1"/>
        <v>DE</v>
      </c>
      <c r="D14" s="9" t="s">
        <v>34</v>
      </c>
      <c r="E14" s="9" t="s">
        <v>65</v>
      </c>
      <c r="F14" s="34" t="str">
        <f t="shared" si="2"/>
        <v>Nespresso Coffee Maker</v>
      </c>
      <c r="G14" s="18">
        <v>120</v>
      </c>
      <c r="H14" s="9">
        <v>35</v>
      </c>
      <c r="I14" s="9" t="s">
        <v>36</v>
      </c>
    </row>
    <row r="15" spans="1:9" x14ac:dyDescent="0.2">
      <c r="A15" s="9" t="s">
        <v>66</v>
      </c>
      <c r="B15" s="32" t="str">
        <f t="shared" si="0"/>
        <v>18</v>
      </c>
      <c r="C15" s="30" t="str">
        <f t="shared" si="1"/>
        <v>CA</v>
      </c>
      <c r="D15" s="9" t="s">
        <v>67</v>
      </c>
      <c r="E15" s="9" t="s">
        <v>68</v>
      </c>
      <c r="F15" s="34" t="str">
        <f t="shared" si="2"/>
        <v>Fitbit Smartwatch</v>
      </c>
      <c r="G15" s="18">
        <v>150</v>
      </c>
      <c r="H15" s="9">
        <v>15</v>
      </c>
      <c r="I15" s="9" t="s">
        <v>28</v>
      </c>
    </row>
    <row r="16" spans="1:9" x14ac:dyDescent="0.2">
      <c r="A16" s="9" t="s">
        <v>69</v>
      </c>
      <c r="B16" s="32" t="str">
        <f t="shared" si="0"/>
        <v>16</v>
      </c>
      <c r="C16" s="30" t="str">
        <f t="shared" si="1"/>
        <v>ES</v>
      </c>
      <c r="D16" s="9" t="s">
        <v>44</v>
      </c>
      <c r="E16" s="9" t="s">
        <v>71</v>
      </c>
      <c r="F16" s="34" t="str">
        <f t="shared" si="2"/>
        <v>Bose Headphones</v>
      </c>
      <c r="G16" s="18">
        <v>250</v>
      </c>
      <c r="H16" s="9">
        <v>20</v>
      </c>
      <c r="I16" s="9" t="s">
        <v>28</v>
      </c>
    </row>
    <row r="17" spans="1:9" x14ac:dyDescent="0.2">
      <c r="A17" s="9" t="s">
        <v>72</v>
      </c>
      <c r="B17" s="32" t="str">
        <f t="shared" si="0"/>
        <v>21</v>
      </c>
      <c r="C17" s="30" t="str">
        <f t="shared" si="1"/>
        <v>CA</v>
      </c>
      <c r="D17" s="9" t="s">
        <v>73</v>
      </c>
      <c r="E17" s="9" t="s">
        <v>74</v>
      </c>
      <c r="F17" s="34" t="str">
        <f t="shared" si="2"/>
        <v>Samsonite Laptop Bag</v>
      </c>
      <c r="G17" s="18">
        <v>50</v>
      </c>
      <c r="H17" s="9">
        <v>35</v>
      </c>
      <c r="I17" s="9" t="s">
        <v>75</v>
      </c>
    </row>
    <row r="18" spans="1:9" x14ac:dyDescent="0.2">
      <c r="A18" s="9" t="s">
        <v>76</v>
      </c>
      <c r="B18" s="32" t="str">
        <f t="shared" si="0"/>
        <v>20</v>
      </c>
      <c r="C18" s="30" t="str">
        <f t="shared" si="1"/>
        <v>CN</v>
      </c>
      <c r="D18" s="9" t="s">
        <v>67</v>
      </c>
      <c r="E18" s="9" t="s">
        <v>77</v>
      </c>
      <c r="F18" s="34" t="str">
        <f t="shared" si="2"/>
        <v>Huawei Smartwatch</v>
      </c>
      <c r="G18" s="18">
        <v>160</v>
      </c>
      <c r="H18" s="9">
        <v>15</v>
      </c>
      <c r="I18" s="9" t="s">
        <v>28</v>
      </c>
    </row>
    <row r="19" spans="1:9" x14ac:dyDescent="0.2">
      <c r="A19" s="9" t="s">
        <v>78</v>
      </c>
      <c r="B19" s="32" t="str">
        <f t="shared" si="0"/>
        <v>27</v>
      </c>
      <c r="C19" s="30" t="str">
        <f t="shared" si="1"/>
        <v>IT</v>
      </c>
      <c r="D19" s="9" t="s">
        <v>61</v>
      </c>
      <c r="E19" s="9" t="s">
        <v>79</v>
      </c>
      <c r="F19" s="34" t="str">
        <f t="shared" si="2"/>
        <v>Asus Laptop</v>
      </c>
      <c r="G19" s="18">
        <v>980</v>
      </c>
      <c r="H19" s="9">
        <v>10</v>
      </c>
      <c r="I19" s="9" t="s">
        <v>28</v>
      </c>
    </row>
    <row r="20" spans="1:9" x14ac:dyDescent="0.2">
      <c r="A20" s="9" t="s">
        <v>80</v>
      </c>
      <c r="B20" s="32" t="str">
        <f t="shared" si="0"/>
        <v>01</v>
      </c>
      <c r="C20" s="30" t="str">
        <f t="shared" si="1"/>
        <v>UK</v>
      </c>
      <c r="D20" s="9" t="s">
        <v>81</v>
      </c>
      <c r="E20" s="9" t="s">
        <v>82</v>
      </c>
      <c r="F20" s="34" t="str">
        <f t="shared" si="2"/>
        <v>Oakley Sunglasses</v>
      </c>
      <c r="G20" s="18">
        <v>150</v>
      </c>
      <c r="H20" s="9">
        <v>15</v>
      </c>
      <c r="I20" s="9" t="s">
        <v>32</v>
      </c>
    </row>
    <row r="21" spans="1:9" x14ac:dyDescent="0.2">
      <c r="A21" s="9" t="s">
        <v>83</v>
      </c>
      <c r="B21" s="32" t="str">
        <f t="shared" si="0"/>
        <v>14</v>
      </c>
      <c r="C21" s="30" t="str">
        <f t="shared" si="1"/>
        <v>US</v>
      </c>
      <c r="D21" s="9" t="s">
        <v>84</v>
      </c>
      <c r="E21" s="9" t="s">
        <v>85</v>
      </c>
      <c r="F21" s="34" t="str">
        <f t="shared" si="2"/>
        <v>Coleman Camping Tent</v>
      </c>
      <c r="G21" s="18">
        <v>130</v>
      </c>
      <c r="H21" s="9">
        <v>10</v>
      </c>
      <c r="I21" s="9" t="s">
        <v>59</v>
      </c>
    </row>
    <row r="22" spans="1:9" x14ac:dyDescent="0.2">
      <c r="A22" s="9" t="s">
        <v>86</v>
      </c>
      <c r="B22" s="32" t="str">
        <f t="shared" si="0"/>
        <v>14</v>
      </c>
      <c r="C22" s="30" t="str">
        <f t="shared" si="1"/>
        <v>RU</v>
      </c>
      <c r="D22" s="9" t="s">
        <v>87</v>
      </c>
      <c r="E22" s="9" t="s">
        <v>88</v>
      </c>
      <c r="F22" s="34" t="str">
        <f t="shared" si="2"/>
        <v>Nikon Camera</v>
      </c>
      <c r="G22" s="18">
        <v>700</v>
      </c>
      <c r="H22" s="9">
        <v>50</v>
      </c>
      <c r="I22" s="9" t="s">
        <v>28</v>
      </c>
    </row>
    <row r="23" spans="1:9" x14ac:dyDescent="0.2">
      <c r="A23" s="9" t="s">
        <v>89</v>
      </c>
      <c r="B23" s="32" t="str">
        <f t="shared" si="0"/>
        <v>09</v>
      </c>
      <c r="C23" s="30" t="str">
        <f t="shared" si="1"/>
        <v>CA</v>
      </c>
      <c r="D23" s="9" t="s">
        <v>90</v>
      </c>
      <c r="E23" s="9" t="s">
        <v>91</v>
      </c>
      <c r="F23" s="34" t="str">
        <f t="shared" si="2"/>
        <v>Panasonic Microwave</v>
      </c>
      <c r="G23" s="18">
        <v>80</v>
      </c>
      <c r="H23" s="9">
        <v>20</v>
      </c>
      <c r="I23" s="9" t="s">
        <v>36</v>
      </c>
    </row>
    <row r="24" spans="1:9" x14ac:dyDescent="0.2">
      <c r="A24" s="9" t="s">
        <v>92</v>
      </c>
      <c r="B24" s="32" t="str">
        <f t="shared" si="0"/>
        <v>19</v>
      </c>
      <c r="C24" s="30" t="str">
        <f t="shared" si="1"/>
        <v>BR</v>
      </c>
      <c r="D24" s="9" t="s">
        <v>93</v>
      </c>
      <c r="E24" s="9" t="s">
        <v>94</v>
      </c>
      <c r="F24" s="34" t="str">
        <f t="shared" si="2"/>
        <v>Xiaomi Fitness Tracker</v>
      </c>
      <c r="G24" s="18">
        <v>150</v>
      </c>
      <c r="H24" s="9">
        <v>30</v>
      </c>
      <c r="I24" s="9" t="s">
        <v>28</v>
      </c>
    </row>
    <row r="25" spans="1:9" x14ac:dyDescent="0.2">
      <c r="A25" s="9" t="s">
        <v>95</v>
      </c>
      <c r="B25" s="32" t="str">
        <f t="shared" si="0"/>
        <v>29</v>
      </c>
      <c r="C25" s="30" t="str">
        <f t="shared" si="1"/>
        <v>CA</v>
      </c>
      <c r="D25" s="9" t="s">
        <v>96</v>
      </c>
      <c r="E25" s="9" t="s">
        <v>97</v>
      </c>
      <c r="F25" s="34" t="str">
        <f t="shared" si="2"/>
        <v>Google Smartphone</v>
      </c>
      <c r="G25" s="18">
        <v>800</v>
      </c>
      <c r="H25" s="9">
        <v>45</v>
      </c>
      <c r="I25" s="9" t="s">
        <v>28</v>
      </c>
    </row>
    <row r="26" spans="1:9" x14ac:dyDescent="0.2">
      <c r="A26" s="9" t="s">
        <v>98</v>
      </c>
      <c r="B26" s="32" t="str">
        <f t="shared" si="0"/>
        <v>03</v>
      </c>
      <c r="C26" s="30" t="str">
        <f t="shared" si="1"/>
        <v>CA</v>
      </c>
      <c r="D26" s="9" t="s">
        <v>81</v>
      </c>
      <c r="E26" s="9" t="s">
        <v>99</v>
      </c>
      <c r="F26" s="34" t="str">
        <f t="shared" si="2"/>
        <v>Ray-Ban Sunglasses</v>
      </c>
      <c r="G26" s="18">
        <v>74</v>
      </c>
      <c r="H26" s="9">
        <v>25</v>
      </c>
      <c r="I26" s="9" t="s">
        <v>32</v>
      </c>
    </row>
    <row r="27" spans="1:9" x14ac:dyDescent="0.2">
      <c r="A27" s="9" t="s">
        <v>100</v>
      </c>
      <c r="B27" s="32" t="str">
        <f t="shared" si="0"/>
        <v>11</v>
      </c>
      <c r="C27" s="30" t="str">
        <f t="shared" si="1"/>
        <v>CA</v>
      </c>
      <c r="D27" s="9" t="s">
        <v>51</v>
      </c>
      <c r="E27" s="9" t="s">
        <v>101</v>
      </c>
      <c r="F27" s="34" t="str">
        <f t="shared" si="2"/>
        <v>Vitamix Blender</v>
      </c>
      <c r="G27" s="18">
        <v>400</v>
      </c>
      <c r="H27" s="9">
        <v>40</v>
      </c>
      <c r="I27" s="9" t="s">
        <v>36</v>
      </c>
    </row>
    <row r="28" spans="1:9" x14ac:dyDescent="0.2">
      <c r="A28" s="9" t="s">
        <v>102</v>
      </c>
      <c r="B28" s="32" t="str">
        <f t="shared" si="0"/>
        <v>07</v>
      </c>
      <c r="C28" s="30" t="str">
        <f t="shared" si="1"/>
        <v>CA</v>
      </c>
      <c r="D28" s="9" t="s">
        <v>103</v>
      </c>
      <c r="E28" s="9" t="s">
        <v>104</v>
      </c>
      <c r="F28" s="34" t="str">
        <f t="shared" si="2"/>
        <v>Zara Dress</v>
      </c>
      <c r="G28" s="18">
        <v>60</v>
      </c>
      <c r="H28" s="9">
        <v>30</v>
      </c>
      <c r="I28" s="9" t="s">
        <v>32</v>
      </c>
    </row>
    <row r="29" spans="1:9" x14ac:dyDescent="0.2">
      <c r="A29" s="9" t="s">
        <v>105</v>
      </c>
      <c r="B29" s="32" t="str">
        <f t="shared" si="0"/>
        <v>13</v>
      </c>
      <c r="C29" s="30" t="str">
        <f t="shared" si="1"/>
        <v>CA</v>
      </c>
      <c r="D29" s="9" t="s">
        <v>106</v>
      </c>
      <c r="E29" s="9" t="s">
        <v>107</v>
      </c>
      <c r="F29" s="34" t="str">
        <f t="shared" si="2"/>
        <v>Hamilton Toaster</v>
      </c>
      <c r="G29" s="18">
        <v>40</v>
      </c>
      <c r="H29" s="9">
        <v>10</v>
      </c>
      <c r="I29" s="9" t="s">
        <v>36</v>
      </c>
    </row>
    <row r="30" spans="1:9" x14ac:dyDescent="0.2">
      <c r="A30" s="9" t="s">
        <v>108</v>
      </c>
      <c r="B30" s="32" t="str">
        <f t="shared" si="0"/>
        <v>24</v>
      </c>
      <c r="C30" s="30" t="str">
        <f t="shared" si="1"/>
        <v>CA</v>
      </c>
      <c r="D30" s="9" t="s">
        <v>93</v>
      </c>
      <c r="E30" s="9" t="s">
        <v>109</v>
      </c>
      <c r="F30" s="34" t="str">
        <f t="shared" si="2"/>
        <v>Garmin Fitness Tracker</v>
      </c>
      <c r="G30" s="18">
        <v>130</v>
      </c>
      <c r="H30" s="9">
        <v>5</v>
      </c>
      <c r="I30" s="9" t="s">
        <v>28</v>
      </c>
    </row>
    <row r="31" spans="1:9" x14ac:dyDescent="0.2">
      <c r="A31" s="9" t="s">
        <v>110</v>
      </c>
      <c r="B31" s="32" t="str">
        <f t="shared" si="0"/>
        <v>02</v>
      </c>
      <c r="C31" s="30" t="str">
        <f t="shared" si="1"/>
        <v>CA</v>
      </c>
      <c r="D31" s="9" t="s">
        <v>111</v>
      </c>
      <c r="E31" s="9" t="s">
        <v>112</v>
      </c>
      <c r="F31" s="34" t="str">
        <f t="shared" si="2"/>
        <v>Levi's Jeans</v>
      </c>
      <c r="G31" s="18">
        <v>50</v>
      </c>
      <c r="H31" s="9">
        <v>50</v>
      </c>
      <c r="I31" s="9" t="s">
        <v>32</v>
      </c>
    </row>
    <row r="32" spans="1:9" x14ac:dyDescent="0.2">
      <c r="A32" s="9" t="s">
        <v>113</v>
      </c>
      <c r="B32" s="32" t="str">
        <f t="shared" si="0"/>
        <v>09</v>
      </c>
      <c r="C32" s="30" t="str">
        <f t="shared" si="1"/>
        <v>FR</v>
      </c>
      <c r="D32" s="9" t="s">
        <v>114</v>
      </c>
      <c r="E32" s="9" t="s">
        <v>115</v>
      </c>
      <c r="F32" s="34" t="str">
        <f t="shared" si="2"/>
        <v>Casio Watch</v>
      </c>
      <c r="G32" s="18">
        <v>100</v>
      </c>
      <c r="H32" s="9">
        <v>20</v>
      </c>
      <c r="I32" s="9" t="s">
        <v>75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10D7-6B19-4A62-B018-B3F7F39398F4}">
  <dimension ref="A1:G32"/>
  <sheetViews>
    <sheetView workbookViewId="0">
      <selection activeCell="H1" sqref="H1"/>
    </sheetView>
  </sheetViews>
  <sheetFormatPr defaultRowHeight="12.75" x14ac:dyDescent="0.2"/>
  <cols>
    <col min="1" max="1" width="15" bestFit="1" customWidth="1"/>
    <col min="2" max="2" width="23.5703125" style="24" bestFit="1" customWidth="1"/>
    <col min="3" max="3" width="18.5703125" bestFit="1" customWidth="1"/>
    <col min="4" max="4" width="16.85546875" bestFit="1" customWidth="1"/>
    <col min="5" max="5" width="13" bestFit="1" customWidth="1"/>
    <col min="6" max="6" width="13.140625" bestFit="1" customWidth="1"/>
    <col min="7" max="7" width="13.7109375" bestFit="1" customWidth="1"/>
  </cols>
  <sheetData>
    <row r="1" spans="1:7" x14ac:dyDescent="0.2">
      <c r="A1" s="17" t="s">
        <v>19</v>
      </c>
      <c r="B1" s="35" t="s">
        <v>121</v>
      </c>
      <c r="C1" s="21" t="s">
        <v>20</v>
      </c>
      <c r="D1" s="17" t="s">
        <v>21</v>
      </c>
      <c r="E1" s="37" t="s">
        <v>22</v>
      </c>
      <c r="F1" s="17" t="s">
        <v>23</v>
      </c>
      <c r="G1" s="20" t="s">
        <v>24</v>
      </c>
    </row>
    <row r="2" spans="1:7" x14ac:dyDescent="0.2">
      <c r="A2" s="9" t="s">
        <v>25</v>
      </c>
      <c r="B2" s="36" t="str">
        <f t="shared" ref="B2:B32" si="0">LEFT(A2,6)</f>
        <v>28-JAN</v>
      </c>
      <c r="C2" s="9" t="s">
        <v>61</v>
      </c>
      <c r="D2" s="9" t="s">
        <v>27</v>
      </c>
      <c r="E2" s="38">
        <v>1000</v>
      </c>
      <c r="F2" s="9">
        <v>30</v>
      </c>
      <c r="G2" s="9" t="s">
        <v>28</v>
      </c>
    </row>
    <row r="3" spans="1:7" x14ac:dyDescent="0.2">
      <c r="A3" s="9" t="s">
        <v>29</v>
      </c>
      <c r="B3" s="36" t="str">
        <f t="shared" si="0"/>
        <v>15-FEB</v>
      </c>
      <c r="C3" s="9" t="s">
        <v>30</v>
      </c>
      <c r="D3" s="9" t="s">
        <v>31</v>
      </c>
      <c r="E3" s="38">
        <v>80</v>
      </c>
      <c r="F3" s="9">
        <v>15</v>
      </c>
      <c r="G3" s="9" t="s">
        <v>32</v>
      </c>
    </row>
    <row r="4" spans="1:7" x14ac:dyDescent="0.2">
      <c r="A4" s="9" t="s">
        <v>33</v>
      </c>
      <c r="B4" s="36" t="str">
        <f t="shared" si="0"/>
        <v>03-MAR</v>
      </c>
      <c r="C4" s="9" t="s">
        <v>34</v>
      </c>
      <c r="D4" s="9" t="s">
        <v>35</v>
      </c>
      <c r="E4" s="38">
        <v>130</v>
      </c>
      <c r="F4" s="9">
        <v>40</v>
      </c>
      <c r="G4" s="9" t="s">
        <v>36</v>
      </c>
    </row>
    <row r="5" spans="1:7" x14ac:dyDescent="0.2">
      <c r="A5" s="9" t="s">
        <v>37</v>
      </c>
      <c r="B5" s="36" t="str">
        <f t="shared" si="0"/>
        <v>11-APR</v>
      </c>
      <c r="C5" s="9" t="s">
        <v>96</v>
      </c>
      <c r="D5" s="9" t="s">
        <v>39</v>
      </c>
      <c r="E5" s="38">
        <v>900</v>
      </c>
      <c r="F5" s="9">
        <v>25</v>
      </c>
      <c r="G5" s="9" t="s">
        <v>28</v>
      </c>
    </row>
    <row r="6" spans="1:7" x14ac:dyDescent="0.2">
      <c r="A6" s="9" t="s">
        <v>40</v>
      </c>
      <c r="B6" s="36" t="str">
        <f t="shared" si="0"/>
        <v>22-MAY</v>
      </c>
      <c r="C6" s="9" t="s">
        <v>41</v>
      </c>
      <c r="D6" s="9" t="s">
        <v>42</v>
      </c>
      <c r="E6" s="38">
        <v>70</v>
      </c>
      <c r="F6" s="9">
        <v>20</v>
      </c>
      <c r="G6" s="9" t="s">
        <v>75</v>
      </c>
    </row>
    <row r="7" spans="1:7" x14ac:dyDescent="0.2">
      <c r="A7" s="9" t="s">
        <v>43</v>
      </c>
      <c r="B7" s="36" t="str">
        <f t="shared" si="0"/>
        <v>07-JUN</v>
      </c>
      <c r="C7" s="9" t="s">
        <v>44</v>
      </c>
      <c r="D7" s="9" t="s">
        <v>45</v>
      </c>
      <c r="E7" s="38">
        <v>592.72727272727275</v>
      </c>
      <c r="F7" s="9">
        <v>45</v>
      </c>
      <c r="G7" s="9" t="s">
        <v>28</v>
      </c>
    </row>
    <row r="8" spans="1:7" x14ac:dyDescent="0.2">
      <c r="A8" s="9" t="s">
        <v>47</v>
      </c>
      <c r="B8" s="36" t="str">
        <f t="shared" si="0"/>
        <v>19-JUL</v>
      </c>
      <c r="C8" s="9" t="s">
        <v>117</v>
      </c>
      <c r="D8" s="9" t="s">
        <v>49</v>
      </c>
      <c r="E8" s="38">
        <v>30</v>
      </c>
      <c r="F8" s="9">
        <v>5</v>
      </c>
      <c r="G8" s="9" t="s">
        <v>32</v>
      </c>
    </row>
    <row r="9" spans="1:7" x14ac:dyDescent="0.2">
      <c r="A9" s="9" t="s">
        <v>50</v>
      </c>
      <c r="B9" s="36" t="str">
        <f t="shared" si="0"/>
        <v>23-AUG</v>
      </c>
      <c r="C9" s="9" t="s">
        <v>51</v>
      </c>
      <c r="D9" s="9" t="s">
        <v>52</v>
      </c>
      <c r="E9" s="38">
        <v>90</v>
      </c>
      <c r="F9" s="9">
        <v>35</v>
      </c>
      <c r="G9" s="9" t="s">
        <v>36</v>
      </c>
    </row>
    <row r="10" spans="1:7" x14ac:dyDescent="0.2">
      <c r="A10" s="9" t="s">
        <v>53</v>
      </c>
      <c r="B10" s="36" t="str">
        <f t="shared" si="0"/>
        <v>05-SEP</v>
      </c>
      <c r="C10" s="9" t="s">
        <v>54</v>
      </c>
      <c r="D10" s="9" t="s">
        <v>55</v>
      </c>
      <c r="E10" s="38">
        <v>500</v>
      </c>
      <c r="F10" s="9">
        <v>50</v>
      </c>
      <c r="G10" s="9" t="s">
        <v>28</v>
      </c>
    </row>
    <row r="11" spans="1:7" x14ac:dyDescent="0.2">
      <c r="A11" s="9" t="s">
        <v>56</v>
      </c>
      <c r="B11" s="36" t="str">
        <f t="shared" si="0"/>
        <v>14-OCT</v>
      </c>
      <c r="C11" s="9" t="s">
        <v>57</v>
      </c>
      <c r="D11" s="9" t="s">
        <v>58</v>
      </c>
      <c r="E11" s="38">
        <v>130</v>
      </c>
      <c r="F11" s="9">
        <v>10</v>
      </c>
      <c r="G11" s="9" t="s">
        <v>59</v>
      </c>
    </row>
    <row r="12" spans="1:7" x14ac:dyDescent="0.2">
      <c r="A12" s="9" t="s">
        <v>60</v>
      </c>
      <c r="B12" s="36" t="str">
        <f t="shared" si="0"/>
        <v>17-JUN</v>
      </c>
      <c r="C12" s="9" t="s">
        <v>61</v>
      </c>
      <c r="D12" s="9" t="s">
        <v>62</v>
      </c>
      <c r="E12" s="38">
        <v>950</v>
      </c>
      <c r="F12" s="9">
        <v>25</v>
      </c>
      <c r="G12" s="9" t="s">
        <v>28</v>
      </c>
    </row>
    <row r="13" spans="1:7" x14ac:dyDescent="0.2">
      <c r="A13" s="9" t="s">
        <v>63</v>
      </c>
      <c r="B13" s="36" t="str">
        <f t="shared" si="0"/>
        <v>25-NOV</v>
      </c>
      <c r="C13" s="9" t="s">
        <v>30</v>
      </c>
      <c r="D13" s="9" t="s">
        <v>49</v>
      </c>
      <c r="E13" s="38">
        <v>90</v>
      </c>
      <c r="F13" s="9">
        <v>40</v>
      </c>
      <c r="G13" s="9" t="s">
        <v>32</v>
      </c>
    </row>
    <row r="14" spans="1:7" x14ac:dyDescent="0.2">
      <c r="A14" s="9" t="s">
        <v>64</v>
      </c>
      <c r="B14" s="36" t="str">
        <f t="shared" si="0"/>
        <v>08-DEC</v>
      </c>
      <c r="C14" s="9" t="s">
        <v>34</v>
      </c>
      <c r="D14" s="9" t="s">
        <v>65</v>
      </c>
      <c r="E14" s="38">
        <v>120</v>
      </c>
      <c r="F14" s="9">
        <v>35</v>
      </c>
      <c r="G14" s="9" t="s">
        <v>36</v>
      </c>
    </row>
    <row r="15" spans="1:7" x14ac:dyDescent="0.2">
      <c r="A15" s="9" t="s">
        <v>66</v>
      </c>
      <c r="B15" s="36" t="str">
        <f t="shared" si="0"/>
        <v>18-FEB</v>
      </c>
      <c r="C15" s="9" t="s">
        <v>67</v>
      </c>
      <c r="D15" s="9" t="s">
        <v>68</v>
      </c>
      <c r="E15" s="38">
        <v>150</v>
      </c>
      <c r="F15" s="9">
        <v>15</v>
      </c>
      <c r="G15" s="9" t="s">
        <v>28</v>
      </c>
    </row>
    <row r="16" spans="1:7" x14ac:dyDescent="0.2">
      <c r="A16" s="9" t="s">
        <v>69</v>
      </c>
      <c r="B16" s="36" t="str">
        <f t="shared" si="0"/>
        <v>16-APR</v>
      </c>
      <c r="C16" s="9" t="s">
        <v>44</v>
      </c>
      <c r="D16" s="9" t="s">
        <v>71</v>
      </c>
      <c r="E16" s="38">
        <v>250</v>
      </c>
      <c r="F16" s="9">
        <v>20</v>
      </c>
      <c r="G16" s="9" t="s">
        <v>28</v>
      </c>
    </row>
    <row r="17" spans="1:7" x14ac:dyDescent="0.2">
      <c r="A17" s="9" t="s">
        <v>72</v>
      </c>
      <c r="B17" s="36" t="str">
        <f t="shared" si="0"/>
        <v>21-AUG</v>
      </c>
      <c r="C17" s="9" t="s">
        <v>73</v>
      </c>
      <c r="D17" s="9" t="s">
        <v>74</v>
      </c>
      <c r="E17" s="38">
        <v>50</v>
      </c>
      <c r="F17" s="9">
        <v>35</v>
      </c>
      <c r="G17" s="9" t="s">
        <v>75</v>
      </c>
    </row>
    <row r="18" spans="1:7" x14ac:dyDescent="0.2">
      <c r="A18" s="9" t="s">
        <v>76</v>
      </c>
      <c r="B18" s="36" t="str">
        <f t="shared" si="0"/>
        <v>20-AUG</v>
      </c>
      <c r="C18" s="9" t="s">
        <v>67</v>
      </c>
      <c r="D18" s="9" t="s">
        <v>77</v>
      </c>
      <c r="E18" s="38">
        <v>160</v>
      </c>
      <c r="F18" s="9">
        <v>15</v>
      </c>
      <c r="G18" s="9" t="s">
        <v>28</v>
      </c>
    </row>
    <row r="19" spans="1:7" x14ac:dyDescent="0.2">
      <c r="A19" s="9" t="s">
        <v>78</v>
      </c>
      <c r="B19" s="36" t="str">
        <f t="shared" si="0"/>
        <v>27-JAN</v>
      </c>
      <c r="C19" s="9" t="s">
        <v>61</v>
      </c>
      <c r="D19" s="9" t="s">
        <v>79</v>
      </c>
      <c r="E19" s="38">
        <v>980</v>
      </c>
      <c r="F19" s="9">
        <v>10</v>
      </c>
      <c r="G19" s="9" t="s">
        <v>28</v>
      </c>
    </row>
    <row r="20" spans="1:7" x14ac:dyDescent="0.2">
      <c r="A20" s="9" t="s">
        <v>80</v>
      </c>
      <c r="B20" s="36" t="str">
        <f t="shared" si="0"/>
        <v>01-MAR</v>
      </c>
      <c r="C20" s="9" t="s">
        <v>81</v>
      </c>
      <c r="D20" s="9" t="s">
        <v>82</v>
      </c>
      <c r="E20" s="38">
        <v>150</v>
      </c>
      <c r="F20" s="9">
        <v>15</v>
      </c>
      <c r="G20" s="9" t="s">
        <v>32</v>
      </c>
    </row>
    <row r="21" spans="1:7" x14ac:dyDescent="0.2">
      <c r="A21" s="9" t="s">
        <v>83</v>
      </c>
      <c r="B21" s="36" t="str">
        <f t="shared" si="0"/>
        <v>14-AUG</v>
      </c>
      <c r="C21" s="9" t="s">
        <v>84</v>
      </c>
      <c r="D21" s="9" t="s">
        <v>85</v>
      </c>
      <c r="E21" s="38">
        <v>130</v>
      </c>
      <c r="F21" s="9">
        <v>10</v>
      </c>
      <c r="G21" s="9" t="s">
        <v>59</v>
      </c>
    </row>
    <row r="22" spans="1:7" x14ac:dyDescent="0.2">
      <c r="A22" s="9" t="s">
        <v>86</v>
      </c>
      <c r="B22" s="36" t="str">
        <f t="shared" si="0"/>
        <v>14-MAY</v>
      </c>
      <c r="C22" s="9" t="s">
        <v>87</v>
      </c>
      <c r="D22" s="9" t="s">
        <v>88</v>
      </c>
      <c r="E22" s="38">
        <v>700</v>
      </c>
      <c r="F22" s="9">
        <v>50</v>
      </c>
      <c r="G22" s="9" t="s">
        <v>28</v>
      </c>
    </row>
    <row r="23" spans="1:7" x14ac:dyDescent="0.2">
      <c r="A23" s="9" t="s">
        <v>89</v>
      </c>
      <c r="B23" s="36" t="str">
        <f t="shared" si="0"/>
        <v>09-JAN</v>
      </c>
      <c r="C23" s="9" t="s">
        <v>90</v>
      </c>
      <c r="D23" s="9" t="s">
        <v>91</v>
      </c>
      <c r="E23" s="38">
        <v>80</v>
      </c>
      <c r="F23" s="9">
        <v>20</v>
      </c>
      <c r="G23" s="9" t="s">
        <v>36</v>
      </c>
    </row>
    <row r="24" spans="1:7" x14ac:dyDescent="0.2">
      <c r="A24" s="9" t="s">
        <v>92</v>
      </c>
      <c r="B24" s="36" t="str">
        <f t="shared" si="0"/>
        <v>19-JUL</v>
      </c>
      <c r="C24" s="9" t="s">
        <v>93</v>
      </c>
      <c r="D24" s="9" t="s">
        <v>94</v>
      </c>
      <c r="E24" s="38">
        <v>150</v>
      </c>
      <c r="F24" s="9">
        <v>30</v>
      </c>
      <c r="G24" s="9" t="s">
        <v>28</v>
      </c>
    </row>
    <row r="25" spans="1:7" x14ac:dyDescent="0.2">
      <c r="A25" s="9" t="s">
        <v>95</v>
      </c>
      <c r="B25" s="36" t="str">
        <f t="shared" si="0"/>
        <v>29-SEP</v>
      </c>
      <c r="C25" s="9" t="s">
        <v>96</v>
      </c>
      <c r="D25" s="9" t="s">
        <v>97</v>
      </c>
      <c r="E25" s="38">
        <v>800</v>
      </c>
      <c r="F25" s="9">
        <v>45</v>
      </c>
      <c r="G25" s="9" t="s">
        <v>28</v>
      </c>
    </row>
    <row r="26" spans="1:7" x14ac:dyDescent="0.2">
      <c r="A26" s="9" t="s">
        <v>98</v>
      </c>
      <c r="B26" s="36" t="str">
        <f t="shared" si="0"/>
        <v>03-JUN</v>
      </c>
      <c r="C26" s="9" t="s">
        <v>81</v>
      </c>
      <c r="D26" s="9" t="s">
        <v>99</v>
      </c>
      <c r="E26" s="38">
        <v>74</v>
      </c>
      <c r="F26" s="9">
        <v>25</v>
      </c>
      <c r="G26" s="9" t="s">
        <v>32</v>
      </c>
    </row>
    <row r="27" spans="1:7" x14ac:dyDescent="0.2">
      <c r="A27" s="9" t="s">
        <v>100</v>
      </c>
      <c r="B27" s="36" t="str">
        <f t="shared" si="0"/>
        <v>11-JUL</v>
      </c>
      <c r="C27" s="9" t="s">
        <v>51</v>
      </c>
      <c r="D27" s="9" t="s">
        <v>101</v>
      </c>
      <c r="E27" s="38">
        <v>400</v>
      </c>
      <c r="F27" s="9">
        <v>40</v>
      </c>
      <c r="G27" s="9" t="s">
        <v>36</v>
      </c>
    </row>
    <row r="28" spans="1:7" x14ac:dyDescent="0.2">
      <c r="A28" s="9" t="s">
        <v>102</v>
      </c>
      <c r="B28" s="36" t="str">
        <f t="shared" si="0"/>
        <v>07-MAR</v>
      </c>
      <c r="C28" s="9" t="s">
        <v>103</v>
      </c>
      <c r="D28" s="9" t="s">
        <v>104</v>
      </c>
      <c r="E28" s="38">
        <v>60</v>
      </c>
      <c r="F28" s="9">
        <v>30</v>
      </c>
      <c r="G28" s="9" t="s">
        <v>32</v>
      </c>
    </row>
    <row r="29" spans="1:7" x14ac:dyDescent="0.2">
      <c r="A29" s="9" t="s">
        <v>105</v>
      </c>
      <c r="B29" s="36" t="str">
        <f t="shared" si="0"/>
        <v>13-APR</v>
      </c>
      <c r="C29" s="9" t="s">
        <v>106</v>
      </c>
      <c r="D29" s="9" t="s">
        <v>107</v>
      </c>
      <c r="E29" s="38">
        <v>40</v>
      </c>
      <c r="F29" s="9">
        <v>10</v>
      </c>
      <c r="G29" s="9" t="s">
        <v>36</v>
      </c>
    </row>
    <row r="30" spans="1:7" x14ac:dyDescent="0.2">
      <c r="A30" s="9" t="s">
        <v>108</v>
      </c>
      <c r="B30" s="36" t="str">
        <f t="shared" si="0"/>
        <v>24-MAY</v>
      </c>
      <c r="C30" s="9" t="s">
        <v>93</v>
      </c>
      <c r="D30" s="9" t="s">
        <v>109</v>
      </c>
      <c r="E30" s="38">
        <v>130</v>
      </c>
      <c r="F30" s="9">
        <v>5</v>
      </c>
      <c r="G30" s="9" t="s">
        <v>28</v>
      </c>
    </row>
    <row r="31" spans="1:7" x14ac:dyDescent="0.2">
      <c r="A31" s="9" t="s">
        <v>110</v>
      </c>
      <c r="B31" s="36" t="str">
        <f t="shared" si="0"/>
        <v>02-DEC</v>
      </c>
      <c r="C31" s="9" t="s">
        <v>111</v>
      </c>
      <c r="D31" s="9" t="s">
        <v>112</v>
      </c>
      <c r="E31" s="38">
        <v>50</v>
      </c>
      <c r="F31" s="9">
        <v>50</v>
      </c>
      <c r="G31" s="9" t="s">
        <v>32</v>
      </c>
    </row>
    <row r="32" spans="1:7" x14ac:dyDescent="0.2">
      <c r="A32" s="9" t="s">
        <v>113</v>
      </c>
      <c r="B32" s="36" t="str">
        <f t="shared" si="0"/>
        <v>09-JUL</v>
      </c>
      <c r="C32" s="9" t="s">
        <v>114</v>
      </c>
      <c r="D32" s="9" t="s">
        <v>115</v>
      </c>
      <c r="E32" s="38">
        <v>100</v>
      </c>
      <c r="F32" s="9">
        <v>20</v>
      </c>
      <c r="G32" s="9" t="s">
        <v>75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1C8B-DF98-43A8-BB7B-0A49C15A5EE6}">
  <dimension ref="A1:F32"/>
  <sheetViews>
    <sheetView workbookViewId="0">
      <selection activeCell="I9" sqref="I9"/>
    </sheetView>
  </sheetViews>
  <sheetFormatPr defaultRowHeight="12.75" x14ac:dyDescent="0.2"/>
  <cols>
    <col min="1" max="1" width="15" bestFit="1" customWidth="1"/>
    <col min="2" max="2" width="18.5703125" bestFit="1" customWidth="1"/>
    <col min="3" max="3" width="16.85546875" bestFit="1" customWidth="1"/>
    <col min="4" max="4" width="13" bestFit="1" customWidth="1"/>
    <col min="5" max="5" width="13.140625" bestFit="1" customWidth="1"/>
    <col min="6" max="6" width="13.7109375" bestFit="1" customWidth="1"/>
  </cols>
  <sheetData>
    <row r="1" spans="1:6" x14ac:dyDescent="0.2">
      <c r="A1" s="17" t="s">
        <v>19</v>
      </c>
      <c r="B1" s="21" t="s">
        <v>20</v>
      </c>
      <c r="C1" s="17" t="s">
        <v>21</v>
      </c>
      <c r="D1" s="37" t="s">
        <v>22</v>
      </c>
      <c r="E1" s="17" t="s">
        <v>23</v>
      </c>
      <c r="F1" s="39" t="s">
        <v>24</v>
      </c>
    </row>
    <row r="2" spans="1:6" x14ac:dyDescent="0.2">
      <c r="A2" s="9" t="s">
        <v>25</v>
      </c>
      <c r="B2" s="9" t="s">
        <v>61</v>
      </c>
      <c r="C2" s="9" t="s">
        <v>27</v>
      </c>
      <c r="D2" s="18">
        <v>1000</v>
      </c>
      <c r="E2" s="9">
        <v>30</v>
      </c>
      <c r="F2" s="9" t="s">
        <v>28</v>
      </c>
    </row>
    <row r="3" spans="1:6" x14ac:dyDescent="0.2">
      <c r="A3" s="9" t="s">
        <v>29</v>
      </c>
      <c r="B3" s="9" t="s">
        <v>30</v>
      </c>
      <c r="C3" s="9" t="s">
        <v>31</v>
      </c>
      <c r="D3" s="18">
        <v>80</v>
      </c>
      <c r="E3" s="9">
        <v>15</v>
      </c>
      <c r="F3" s="9" t="s">
        <v>32</v>
      </c>
    </row>
    <row r="4" spans="1:6" x14ac:dyDescent="0.2">
      <c r="A4" s="9" t="s">
        <v>33</v>
      </c>
      <c r="B4" s="9" t="s">
        <v>34</v>
      </c>
      <c r="C4" s="9" t="s">
        <v>35</v>
      </c>
      <c r="D4" s="18">
        <v>130</v>
      </c>
      <c r="E4" s="9">
        <v>40</v>
      </c>
      <c r="F4" s="9" t="s">
        <v>36</v>
      </c>
    </row>
    <row r="5" spans="1:6" x14ac:dyDescent="0.2">
      <c r="A5" s="9" t="s">
        <v>37</v>
      </c>
      <c r="B5" s="9" t="s">
        <v>96</v>
      </c>
      <c r="C5" s="9" t="s">
        <v>39</v>
      </c>
      <c r="D5" s="18">
        <v>900</v>
      </c>
      <c r="E5" s="9">
        <v>25</v>
      </c>
      <c r="F5" s="9" t="s">
        <v>28</v>
      </c>
    </row>
    <row r="6" spans="1:6" x14ac:dyDescent="0.2">
      <c r="A6" s="9" t="s">
        <v>40</v>
      </c>
      <c r="B6" s="9" t="s">
        <v>41</v>
      </c>
      <c r="C6" s="9" t="s">
        <v>42</v>
      </c>
      <c r="D6" s="18">
        <v>70</v>
      </c>
      <c r="E6" s="9">
        <v>20</v>
      </c>
      <c r="F6" s="9" t="s">
        <v>75</v>
      </c>
    </row>
    <row r="7" spans="1:6" x14ac:dyDescent="0.2">
      <c r="A7" s="9" t="s">
        <v>43</v>
      </c>
      <c r="B7" s="9" t="s">
        <v>44</v>
      </c>
      <c r="C7" s="9" t="s">
        <v>45</v>
      </c>
      <c r="D7" s="18">
        <v>592.72727272727275</v>
      </c>
      <c r="E7" s="9">
        <v>45</v>
      </c>
      <c r="F7" s="9" t="s">
        <v>28</v>
      </c>
    </row>
    <row r="8" spans="1:6" x14ac:dyDescent="0.2">
      <c r="A8" s="9" t="s">
        <v>47</v>
      </c>
      <c r="B8" s="9" t="s">
        <v>117</v>
      </c>
      <c r="C8" s="9" t="s">
        <v>49</v>
      </c>
      <c r="D8" s="18">
        <v>30</v>
      </c>
      <c r="E8" s="9">
        <v>5</v>
      </c>
      <c r="F8" s="9" t="s">
        <v>32</v>
      </c>
    </row>
    <row r="9" spans="1:6" x14ac:dyDescent="0.2">
      <c r="A9" s="9" t="s">
        <v>50</v>
      </c>
      <c r="B9" s="9" t="s">
        <v>51</v>
      </c>
      <c r="C9" s="9" t="s">
        <v>52</v>
      </c>
      <c r="D9" s="18">
        <v>90</v>
      </c>
      <c r="E9" s="9">
        <v>35</v>
      </c>
      <c r="F9" s="9" t="s">
        <v>36</v>
      </c>
    </row>
    <row r="10" spans="1:6" x14ac:dyDescent="0.2">
      <c r="A10" s="9" t="s">
        <v>53</v>
      </c>
      <c r="B10" s="9" t="s">
        <v>54</v>
      </c>
      <c r="C10" s="9" t="s">
        <v>55</v>
      </c>
      <c r="D10" s="18">
        <v>500</v>
      </c>
      <c r="E10" s="9">
        <v>50</v>
      </c>
      <c r="F10" s="9" t="s">
        <v>28</v>
      </c>
    </row>
    <row r="11" spans="1:6" x14ac:dyDescent="0.2">
      <c r="A11" s="9" t="s">
        <v>56</v>
      </c>
      <c r="B11" s="9" t="s">
        <v>57</v>
      </c>
      <c r="C11" s="9" t="s">
        <v>58</v>
      </c>
      <c r="D11" s="18">
        <v>130</v>
      </c>
      <c r="E11" s="9">
        <v>10</v>
      </c>
      <c r="F11" s="9" t="s">
        <v>59</v>
      </c>
    </row>
    <row r="12" spans="1:6" x14ac:dyDescent="0.2">
      <c r="A12" s="9" t="s">
        <v>60</v>
      </c>
      <c r="B12" s="9" t="s">
        <v>61</v>
      </c>
      <c r="C12" s="9" t="s">
        <v>62</v>
      </c>
      <c r="D12" s="18">
        <v>950</v>
      </c>
      <c r="E12" s="9">
        <v>25</v>
      </c>
      <c r="F12" s="9" t="s">
        <v>28</v>
      </c>
    </row>
    <row r="13" spans="1:6" x14ac:dyDescent="0.2">
      <c r="A13" s="9" t="s">
        <v>63</v>
      </c>
      <c r="B13" s="9" t="s">
        <v>30</v>
      </c>
      <c r="C13" s="9" t="s">
        <v>49</v>
      </c>
      <c r="D13" s="18">
        <v>90</v>
      </c>
      <c r="E13" s="9">
        <v>40</v>
      </c>
      <c r="F13" s="9" t="s">
        <v>32</v>
      </c>
    </row>
    <row r="14" spans="1:6" x14ac:dyDescent="0.2">
      <c r="A14" s="9" t="s">
        <v>64</v>
      </c>
      <c r="B14" s="9" t="s">
        <v>34</v>
      </c>
      <c r="C14" s="9" t="s">
        <v>65</v>
      </c>
      <c r="D14" s="18">
        <v>120</v>
      </c>
      <c r="E14" s="9">
        <v>35</v>
      </c>
      <c r="F14" s="9" t="s">
        <v>36</v>
      </c>
    </row>
    <row r="15" spans="1:6" x14ac:dyDescent="0.2">
      <c r="A15" s="9" t="s">
        <v>66</v>
      </c>
      <c r="B15" s="9" t="s">
        <v>67</v>
      </c>
      <c r="C15" s="9" t="s">
        <v>68</v>
      </c>
      <c r="D15" s="18">
        <v>150</v>
      </c>
      <c r="E15" s="9">
        <v>15</v>
      </c>
      <c r="F15" s="9" t="s">
        <v>28</v>
      </c>
    </row>
    <row r="16" spans="1:6" x14ac:dyDescent="0.2">
      <c r="A16" s="9" t="s">
        <v>69</v>
      </c>
      <c r="B16" s="9" t="s">
        <v>44</v>
      </c>
      <c r="C16" s="9" t="s">
        <v>71</v>
      </c>
      <c r="D16" s="18">
        <v>250</v>
      </c>
      <c r="E16" s="9">
        <v>20</v>
      </c>
      <c r="F16" s="9" t="s">
        <v>28</v>
      </c>
    </row>
    <row r="17" spans="1:6" x14ac:dyDescent="0.2">
      <c r="A17" s="9" t="s">
        <v>72</v>
      </c>
      <c r="B17" s="9" t="s">
        <v>73</v>
      </c>
      <c r="C17" s="9" t="s">
        <v>74</v>
      </c>
      <c r="D17" s="18">
        <v>50</v>
      </c>
      <c r="E17" s="9">
        <v>35</v>
      </c>
      <c r="F17" s="9" t="s">
        <v>75</v>
      </c>
    </row>
    <row r="18" spans="1:6" x14ac:dyDescent="0.2">
      <c r="A18" s="9" t="s">
        <v>76</v>
      </c>
      <c r="B18" s="9" t="s">
        <v>67</v>
      </c>
      <c r="C18" s="9" t="s">
        <v>77</v>
      </c>
      <c r="D18" s="18">
        <v>160</v>
      </c>
      <c r="E18" s="9">
        <v>15</v>
      </c>
      <c r="F18" s="9" t="s">
        <v>28</v>
      </c>
    </row>
    <row r="19" spans="1:6" x14ac:dyDescent="0.2">
      <c r="A19" s="9" t="s">
        <v>78</v>
      </c>
      <c r="B19" s="9" t="s">
        <v>61</v>
      </c>
      <c r="C19" s="9" t="s">
        <v>79</v>
      </c>
      <c r="D19" s="18">
        <v>980</v>
      </c>
      <c r="E19" s="9">
        <v>10</v>
      </c>
      <c r="F19" s="9" t="s">
        <v>28</v>
      </c>
    </row>
    <row r="20" spans="1:6" x14ac:dyDescent="0.2">
      <c r="A20" s="9" t="s">
        <v>80</v>
      </c>
      <c r="B20" s="9" t="s">
        <v>81</v>
      </c>
      <c r="C20" s="9" t="s">
        <v>82</v>
      </c>
      <c r="D20" s="18">
        <v>150</v>
      </c>
      <c r="E20" s="9">
        <v>15</v>
      </c>
      <c r="F20" s="9" t="s">
        <v>32</v>
      </c>
    </row>
    <row r="21" spans="1:6" x14ac:dyDescent="0.2">
      <c r="A21" s="9" t="s">
        <v>83</v>
      </c>
      <c r="B21" s="9" t="s">
        <v>84</v>
      </c>
      <c r="C21" s="9" t="s">
        <v>85</v>
      </c>
      <c r="D21" s="18">
        <v>130</v>
      </c>
      <c r="E21" s="9">
        <v>10</v>
      </c>
      <c r="F21" s="9" t="s">
        <v>59</v>
      </c>
    </row>
    <row r="22" spans="1:6" x14ac:dyDescent="0.2">
      <c r="A22" s="9" t="s">
        <v>86</v>
      </c>
      <c r="B22" s="9" t="s">
        <v>87</v>
      </c>
      <c r="C22" s="9" t="s">
        <v>88</v>
      </c>
      <c r="D22" s="18">
        <v>700</v>
      </c>
      <c r="E22" s="9">
        <v>50</v>
      </c>
      <c r="F22" s="9" t="s">
        <v>28</v>
      </c>
    </row>
    <row r="23" spans="1:6" x14ac:dyDescent="0.2">
      <c r="A23" s="9" t="s">
        <v>89</v>
      </c>
      <c r="B23" s="9" t="s">
        <v>90</v>
      </c>
      <c r="C23" s="9" t="s">
        <v>91</v>
      </c>
      <c r="D23" s="18">
        <v>80</v>
      </c>
      <c r="E23" s="9">
        <v>20</v>
      </c>
      <c r="F23" s="9" t="s">
        <v>36</v>
      </c>
    </row>
    <row r="24" spans="1:6" x14ac:dyDescent="0.2">
      <c r="A24" s="9" t="s">
        <v>92</v>
      </c>
      <c r="B24" s="9" t="s">
        <v>93</v>
      </c>
      <c r="C24" s="9" t="s">
        <v>94</v>
      </c>
      <c r="D24" s="18">
        <v>150</v>
      </c>
      <c r="E24" s="9">
        <v>30</v>
      </c>
      <c r="F24" s="9" t="s">
        <v>28</v>
      </c>
    </row>
    <row r="25" spans="1:6" x14ac:dyDescent="0.2">
      <c r="A25" s="9" t="s">
        <v>95</v>
      </c>
      <c r="B25" s="9" t="s">
        <v>96</v>
      </c>
      <c r="C25" s="9" t="s">
        <v>97</v>
      </c>
      <c r="D25" s="18">
        <v>800</v>
      </c>
      <c r="E25" s="9">
        <v>45</v>
      </c>
      <c r="F25" s="9" t="s">
        <v>28</v>
      </c>
    </row>
    <row r="26" spans="1:6" x14ac:dyDescent="0.2">
      <c r="A26" s="9" t="s">
        <v>98</v>
      </c>
      <c r="B26" s="9" t="s">
        <v>81</v>
      </c>
      <c r="C26" s="9" t="s">
        <v>99</v>
      </c>
      <c r="D26" s="18">
        <v>74</v>
      </c>
      <c r="E26" s="9">
        <v>25</v>
      </c>
      <c r="F26" s="9" t="s">
        <v>32</v>
      </c>
    </row>
    <row r="27" spans="1:6" x14ac:dyDescent="0.2">
      <c r="A27" s="9" t="s">
        <v>100</v>
      </c>
      <c r="B27" s="9" t="s">
        <v>51</v>
      </c>
      <c r="C27" s="9" t="s">
        <v>101</v>
      </c>
      <c r="D27" s="18">
        <v>400</v>
      </c>
      <c r="E27" s="9">
        <v>40</v>
      </c>
      <c r="F27" s="9" t="s">
        <v>36</v>
      </c>
    </row>
    <row r="28" spans="1:6" x14ac:dyDescent="0.2">
      <c r="A28" s="9" t="s">
        <v>102</v>
      </c>
      <c r="B28" s="9" t="s">
        <v>103</v>
      </c>
      <c r="C28" s="9" t="s">
        <v>104</v>
      </c>
      <c r="D28" s="18">
        <v>60</v>
      </c>
      <c r="E28" s="9">
        <v>30</v>
      </c>
      <c r="F28" s="9" t="s">
        <v>32</v>
      </c>
    </row>
    <row r="29" spans="1:6" x14ac:dyDescent="0.2">
      <c r="A29" s="9" t="s">
        <v>105</v>
      </c>
      <c r="B29" s="9" t="s">
        <v>106</v>
      </c>
      <c r="C29" s="9" t="s">
        <v>107</v>
      </c>
      <c r="D29" s="18">
        <v>40</v>
      </c>
      <c r="E29" s="9">
        <v>10</v>
      </c>
      <c r="F29" s="9" t="s">
        <v>36</v>
      </c>
    </row>
    <row r="30" spans="1:6" x14ac:dyDescent="0.2">
      <c r="A30" s="9" t="s">
        <v>108</v>
      </c>
      <c r="B30" s="9" t="s">
        <v>93</v>
      </c>
      <c r="C30" s="9" t="s">
        <v>109</v>
      </c>
      <c r="D30" s="18">
        <v>130</v>
      </c>
      <c r="E30" s="9">
        <v>5</v>
      </c>
      <c r="F30" s="9" t="s">
        <v>28</v>
      </c>
    </row>
    <row r="31" spans="1:6" x14ac:dyDescent="0.2">
      <c r="A31" s="9" t="s">
        <v>110</v>
      </c>
      <c r="B31" s="9" t="s">
        <v>111</v>
      </c>
      <c r="C31" s="9" t="s">
        <v>112</v>
      </c>
      <c r="D31" s="18">
        <v>50</v>
      </c>
      <c r="E31" s="9">
        <v>50</v>
      </c>
      <c r="F31" s="9" t="s">
        <v>32</v>
      </c>
    </row>
    <row r="32" spans="1:6" x14ac:dyDescent="0.2">
      <c r="A32" s="9" t="s">
        <v>113</v>
      </c>
      <c r="B32" s="9" t="s">
        <v>114</v>
      </c>
      <c r="C32" s="9" t="s">
        <v>115</v>
      </c>
      <c r="D32" s="18">
        <v>100</v>
      </c>
      <c r="E32" s="9">
        <v>20</v>
      </c>
      <c r="F32" s="9" t="s">
        <v>75</v>
      </c>
    </row>
  </sheetData>
  <conditionalFormatting sqref="D1:D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{B75475C0-18B1-414C-92B6-12A7FDB3E207}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5475C0-18B1-414C-92B6-12A7FDB3E2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containsText" priority="1" operator="containsText" id="{00CA0D4D-BF72-4406-8C4C-E4CDD4F9024E}">
            <xm:f>NOT(ISERROR(SEARCH($F$2,F1)))</xm:f>
            <xm:f>$F$2</xm:f>
            <x14:dxf>
              <fill>
                <gradientFill degree="90">
                  <stop position="0">
                    <color theme="6" tint="0.40000610370189521"/>
                  </stop>
                  <stop position="1">
                    <color theme="5"/>
                  </stop>
                </gradientFill>
              </fill>
            </x14:dxf>
          </x14:cfRule>
          <xm:sqref>F1:F1048576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opLeftCell="A14" workbookViewId="0">
      <selection activeCell="H31" sqref="H31"/>
    </sheetView>
  </sheetViews>
  <sheetFormatPr defaultColWidth="12.5703125" defaultRowHeight="15" customHeight="1" x14ac:dyDescent="0.2"/>
  <cols>
    <col min="1" max="1" width="15" bestFit="1" customWidth="1"/>
    <col min="2" max="2" width="19.5703125" bestFit="1" customWidth="1"/>
    <col min="3" max="3" width="16.85546875" bestFit="1" customWidth="1"/>
    <col min="4" max="4" width="13" bestFit="1" customWidth="1"/>
    <col min="5" max="5" width="13.140625" bestFit="1" customWidth="1"/>
    <col min="6" max="6" width="13.7109375" bestFit="1" customWidth="1"/>
  </cols>
  <sheetData>
    <row r="1" spans="1:11" ht="15.75" customHeight="1" x14ac:dyDescent="0.2">
      <c r="A1" s="17" t="s">
        <v>19</v>
      </c>
      <c r="B1" s="21" t="s">
        <v>20</v>
      </c>
      <c r="C1" s="17" t="s">
        <v>21</v>
      </c>
      <c r="D1" s="19" t="s">
        <v>22</v>
      </c>
      <c r="E1" s="17" t="s">
        <v>23</v>
      </c>
      <c r="F1" s="20" t="s">
        <v>24</v>
      </c>
    </row>
    <row r="2" spans="1:11" ht="15.75" customHeight="1" x14ac:dyDescent="0.2">
      <c r="A2" s="9" t="s">
        <v>25</v>
      </c>
      <c r="B2" s="9" t="s">
        <v>61</v>
      </c>
      <c r="C2" s="9" t="s">
        <v>27</v>
      </c>
      <c r="D2" s="18">
        <v>1000</v>
      </c>
      <c r="E2" s="9">
        <v>30</v>
      </c>
      <c r="F2" s="9" t="s">
        <v>28</v>
      </c>
    </row>
    <row r="3" spans="1:11" ht="15.75" customHeight="1" x14ac:dyDescent="0.2">
      <c r="A3" s="9" t="s">
        <v>29</v>
      </c>
      <c r="B3" s="9" t="s">
        <v>30</v>
      </c>
      <c r="C3" s="9" t="s">
        <v>31</v>
      </c>
      <c r="D3" s="18">
        <v>80</v>
      </c>
      <c r="E3" s="9">
        <v>15</v>
      </c>
      <c r="F3" s="9" t="s">
        <v>32</v>
      </c>
      <c r="G3" s="5"/>
      <c r="H3" s="5"/>
      <c r="I3" s="5"/>
      <c r="J3" s="5"/>
      <c r="K3" s="5"/>
    </row>
    <row r="4" spans="1:11" ht="15.75" customHeight="1" x14ac:dyDescent="0.2">
      <c r="A4" s="9" t="s">
        <v>33</v>
      </c>
      <c r="B4" s="9" t="s">
        <v>34</v>
      </c>
      <c r="C4" s="9" t="s">
        <v>35</v>
      </c>
      <c r="D4" s="18">
        <v>130</v>
      </c>
      <c r="E4" s="9">
        <v>40</v>
      </c>
      <c r="F4" s="9" t="s">
        <v>36</v>
      </c>
      <c r="G4" s="5"/>
      <c r="H4" s="5"/>
      <c r="I4" s="5"/>
      <c r="J4" s="5"/>
      <c r="K4" s="5"/>
    </row>
    <row r="5" spans="1:11" ht="15.75" customHeight="1" x14ac:dyDescent="0.2">
      <c r="A5" s="9" t="s">
        <v>37</v>
      </c>
      <c r="B5" s="9" t="s">
        <v>96</v>
      </c>
      <c r="C5" s="9" t="s">
        <v>39</v>
      </c>
      <c r="D5" s="18">
        <v>900</v>
      </c>
      <c r="E5" s="9">
        <v>25</v>
      </c>
      <c r="F5" s="9" t="s">
        <v>28</v>
      </c>
      <c r="G5" s="5"/>
      <c r="H5" s="5"/>
      <c r="I5" s="5"/>
      <c r="J5" s="5"/>
      <c r="K5" s="5"/>
    </row>
    <row r="6" spans="1:11" ht="15.75" customHeight="1" x14ac:dyDescent="0.2">
      <c r="A6" s="9" t="s">
        <v>40</v>
      </c>
      <c r="B6" s="9" t="s">
        <v>41</v>
      </c>
      <c r="C6" s="9" t="s">
        <v>42</v>
      </c>
      <c r="D6" s="18">
        <v>70</v>
      </c>
      <c r="E6" s="9">
        <v>20</v>
      </c>
      <c r="F6" s="9" t="s">
        <v>75</v>
      </c>
      <c r="G6" s="5"/>
      <c r="H6" s="5"/>
    </row>
    <row r="7" spans="1:11" ht="15.75" customHeight="1" x14ac:dyDescent="0.2">
      <c r="A7" s="9" t="s">
        <v>43</v>
      </c>
      <c r="B7" s="9" t="s">
        <v>44</v>
      </c>
      <c r="C7" s="9" t="s">
        <v>45</v>
      </c>
      <c r="D7" s="18">
        <v>592.72727272727275</v>
      </c>
      <c r="E7" s="9">
        <v>45</v>
      </c>
      <c r="F7" s="9" t="s">
        <v>28</v>
      </c>
    </row>
    <row r="8" spans="1:11" ht="15.75" customHeight="1" x14ac:dyDescent="0.2">
      <c r="A8" s="9" t="s">
        <v>47</v>
      </c>
      <c r="B8" s="9" t="s">
        <v>117</v>
      </c>
      <c r="C8" s="9" t="s">
        <v>49</v>
      </c>
      <c r="D8" s="18">
        <v>30</v>
      </c>
      <c r="E8" s="9">
        <v>5</v>
      </c>
      <c r="F8" s="9" t="s">
        <v>32</v>
      </c>
    </row>
    <row r="9" spans="1:11" ht="15.75" customHeight="1" x14ac:dyDescent="0.2">
      <c r="A9" s="9" t="s">
        <v>50</v>
      </c>
      <c r="B9" s="9" t="s">
        <v>51</v>
      </c>
      <c r="C9" s="9" t="s">
        <v>52</v>
      </c>
      <c r="D9" s="18">
        <v>90</v>
      </c>
      <c r="E9" s="9">
        <v>35</v>
      </c>
      <c r="F9" s="9" t="s">
        <v>36</v>
      </c>
    </row>
    <row r="10" spans="1:11" ht="15.75" customHeight="1" x14ac:dyDescent="0.2">
      <c r="A10" s="9" t="s">
        <v>53</v>
      </c>
      <c r="B10" s="9" t="s">
        <v>54</v>
      </c>
      <c r="C10" s="9" t="s">
        <v>55</v>
      </c>
      <c r="D10" s="18">
        <v>500</v>
      </c>
      <c r="E10" s="9">
        <v>50</v>
      </c>
      <c r="F10" s="9" t="s">
        <v>28</v>
      </c>
    </row>
    <row r="11" spans="1:11" ht="15.75" customHeight="1" x14ac:dyDescent="0.2">
      <c r="A11" s="9" t="s">
        <v>56</v>
      </c>
      <c r="B11" s="9" t="s">
        <v>57</v>
      </c>
      <c r="C11" s="9" t="s">
        <v>58</v>
      </c>
      <c r="D11" s="18">
        <v>130</v>
      </c>
      <c r="E11" s="9">
        <v>10</v>
      </c>
      <c r="F11" s="9" t="s">
        <v>59</v>
      </c>
    </row>
    <row r="12" spans="1:11" ht="15.75" customHeight="1" x14ac:dyDescent="0.2">
      <c r="A12" s="9" t="s">
        <v>60</v>
      </c>
      <c r="B12" s="9" t="s">
        <v>61</v>
      </c>
      <c r="C12" s="9" t="s">
        <v>62</v>
      </c>
      <c r="D12" s="18">
        <v>950</v>
      </c>
      <c r="E12" s="9">
        <v>25</v>
      </c>
      <c r="F12" s="9" t="s">
        <v>28</v>
      </c>
    </row>
    <row r="13" spans="1:11" ht="15.75" customHeight="1" x14ac:dyDescent="0.2">
      <c r="A13" s="9" t="s">
        <v>63</v>
      </c>
      <c r="B13" s="9" t="s">
        <v>30</v>
      </c>
      <c r="C13" s="9" t="s">
        <v>49</v>
      </c>
      <c r="D13" s="18">
        <v>90</v>
      </c>
      <c r="E13" s="9">
        <v>40</v>
      </c>
      <c r="F13" s="9" t="s">
        <v>32</v>
      </c>
    </row>
    <row r="14" spans="1:11" ht="15.75" customHeight="1" x14ac:dyDescent="0.2">
      <c r="A14" s="9" t="s">
        <v>64</v>
      </c>
      <c r="B14" s="9" t="s">
        <v>34</v>
      </c>
      <c r="C14" s="9" t="s">
        <v>65</v>
      </c>
      <c r="D14" s="18">
        <v>120</v>
      </c>
      <c r="E14" s="9">
        <v>35</v>
      </c>
      <c r="F14" s="9" t="s">
        <v>36</v>
      </c>
    </row>
    <row r="15" spans="1:11" ht="15.75" customHeight="1" x14ac:dyDescent="0.2">
      <c r="A15" s="9" t="s">
        <v>66</v>
      </c>
      <c r="B15" s="9" t="s">
        <v>67</v>
      </c>
      <c r="C15" s="9" t="s">
        <v>68</v>
      </c>
      <c r="D15" s="18">
        <v>150</v>
      </c>
      <c r="E15" s="9">
        <v>15</v>
      </c>
      <c r="F15" s="9" t="s">
        <v>28</v>
      </c>
    </row>
    <row r="16" spans="1:11" ht="15.75" customHeight="1" x14ac:dyDescent="0.2">
      <c r="A16" s="9" t="s">
        <v>69</v>
      </c>
      <c r="B16" s="9" t="s">
        <v>44</v>
      </c>
      <c r="C16" s="9" t="s">
        <v>71</v>
      </c>
      <c r="D16" s="18">
        <v>250</v>
      </c>
      <c r="E16" s="9">
        <v>20</v>
      </c>
      <c r="F16" s="9" t="s">
        <v>28</v>
      </c>
    </row>
    <row r="17" spans="1:6" ht="15.75" customHeight="1" x14ac:dyDescent="0.2">
      <c r="A17" s="9" t="s">
        <v>72</v>
      </c>
      <c r="B17" s="9" t="s">
        <v>73</v>
      </c>
      <c r="C17" s="9" t="s">
        <v>74</v>
      </c>
      <c r="D17" s="18">
        <v>50</v>
      </c>
      <c r="E17" s="9">
        <v>35</v>
      </c>
      <c r="F17" s="9" t="s">
        <v>75</v>
      </c>
    </row>
    <row r="18" spans="1:6" ht="15.75" customHeight="1" x14ac:dyDescent="0.2">
      <c r="A18" s="9" t="s">
        <v>76</v>
      </c>
      <c r="B18" s="9" t="s">
        <v>67</v>
      </c>
      <c r="C18" s="9" t="s">
        <v>77</v>
      </c>
      <c r="D18" s="18">
        <v>160</v>
      </c>
      <c r="E18" s="9">
        <v>15</v>
      </c>
      <c r="F18" s="9" t="s">
        <v>28</v>
      </c>
    </row>
    <row r="19" spans="1:6" ht="15.75" customHeight="1" x14ac:dyDescent="0.2">
      <c r="A19" s="9" t="s">
        <v>78</v>
      </c>
      <c r="B19" s="9" t="s">
        <v>61</v>
      </c>
      <c r="C19" s="9" t="s">
        <v>79</v>
      </c>
      <c r="D19" s="18">
        <v>980</v>
      </c>
      <c r="E19" s="9">
        <v>10</v>
      </c>
      <c r="F19" s="9" t="s">
        <v>28</v>
      </c>
    </row>
    <row r="20" spans="1:6" ht="15.75" customHeight="1" x14ac:dyDescent="0.2">
      <c r="A20" s="9" t="s">
        <v>80</v>
      </c>
      <c r="B20" s="9" t="s">
        <v>81</v>
      </c>
      <c r="C20" s="9" t="s">
        <v>82</v>
      </c>
      <c r="D20" s="18">
        <v>150</v>
      </c>
      <c r="E20" s="9">
        <v>15</v>
      </c>
      <c r="F20" s="9" t="s">
        <v>32</v>
      </c>
    </row>
    <row r="21" spans="1:6" ht="15.75" customHeight="1" x14ac:dyDescent="0.2">
      <c r="A21" s="9" t="s">
        <v>83</v>
      </c>
      <c r="B21" s="9" t="s">
        <v>84</v>
      </c>
      <c r="C21" s="9" t="s">
        <v>85</v>
      </c>
      <c r="D21" s="18">
        <v>130</v>
      </c>
      <c r="E21" s="9">
        <v>10</v>
      </c>
      <c r="F21" s="9" t="s">
        <v>59</v>
      </c>
    </row>
    <row r="22" spans="1:6" ht="15.75" customHeight="1" x14ac:dyDescent="0.2">
      <c r="A22" s="9" t="s">
        <v>86</v>
      </c>
      <c r="B22" s="9" t="s">
        <v>87</v>
      </c>
      <c r="C22" s="9" t="s">
        <v>88</v>
      </c>
      <c r="D22" s="18">
        <v>700</v>
      </c>
      <c r="E22" s="9">
        <v>50</v>
      </c>
      <c r="F22" s="9" t="s">
        <v>28</v>
      </c>
    </row>
    <row r="23" spans="1:6" ht="15.75" customHeight="1" x14ac:dyDescent="0.2">
      <c r="A23" s="9" t="s">
        <v>89</v>
      </c>
      <c r="B23" s="9" t="s">
        <v>90</v>
      </c>
      <c r="C23" s="9" t="s">
        <v>91</v>
      </c>
      <c r="D23" s="18">
        <v>80</v>
      </c>
      <c r="E23" s="9">
        <v>20</v>
      </c>
      <c r="F23" s="9" t="s">
        <v>36</v>
      </c>
    </row>
    <row r="24" spans="1:6" ht="15.75" customHeight="1" x14ac:dyDescent="0.2">
      <c r="A24" s="9" t="s">
        <v>92</v>
      </c>
      <c r="B24" s="9" t="s">
        <v>93</v>
      </c>
      <c r="C24" s="9" t="s">
        <v>94</v>
      </c>
      <c r="D24" s="18">
        <v>150</v>
      </c>
      <c r="E24" s="9">
        <v>30</v>
      </c>
      <c r="F24" s="9" t="s">
        <v>28</v>
      </c>
    </row>
    <row r="25" spans="1:6" ht="15.75" customHeight="1" x14ac:dyDescent="0.2">
      <c r="A25" s="9" t="s">
        <v>95</v>
      </c>
      <c r="B25" s="9" t="s">
        <v>96</v>
      </c>
      <c r="C25" s="9" t="s">
        <v>97</v>
      </c>
      <c r="D25" s="18">
        <v>800</v>
      </c>
      <c r="E25" s="9">
        <v>45</v>
      </c>
      <c r="F25" s="9" t="s">
        <v>28</v>
      </c>
    </row>
    <row r="26" spans="1:6" ht="15.75" customHeight="1" x14ac:dyDescent="0.2">
      <c r="A26" s="9" t="s">
        <v>98</v>
      </c>
      <c r="B26" s="9" t="s">
        <v>81</v>
      </c>
      <c r="C26" s="9" t="s">
        <v>99</v>
      </c>
      <c r="D26" s="18">
        <v>74</v>
      </c>
      <c r="E26" s="9">
        <v>25</v>
      </c>
      <c r="F26" s="9" t="s">
        <v>32</v>
      </c>
    </row>
    <row r="27" spans="1:6" ht="15.75" customHeight="1" x14ac:dyDescent="0.2">
      <c r="A27" s="9" t="s">
        <v>100</v>
      </c>
      <c r="B27" s="9" t="s">
        <v>51</v>
      </c>
      <c r="C27" s="9" t="s">
        <v>101</v>
      </c>
      <c r="D27" s="18">
        <v>400</v>
      </c>
      <c r="E27" s="9">
        <v>40</v>
      </c>
      <c r="F27" s="9" t="s">
        <v>36</v>
      </c>
    </row>
    <row r="28" spans="1:6" ht="15.75" customHeight="1" x14ac:dyDescent="0.2">
      <c r="A28" s="9" t="s">
        <v>102</v>
      </c>
      <c r="B28" s="9" t="s">
        <v>103</v>
      </c>
      <c r="C28" s="9" t="s">
        <v>104</v>
      </c>
      <c r="D28" s="18">
        <v>60</v>
      </c>
      <c r="E28" s="9">
        <v>30</v>
      </c>
      <c r="F28" s="9" t="s">
        <v>32</v>
      </c>
    </row>
    <row r="29" spans="1:6" ht="15.75" customHeight="1" x14ac:dyDescent="0.2">
      <c r="A29" s="9" t="s">
        <v>105</v>
      </c>
      <c r="B29" s="9" t="s">
        <v>106</v>
      </c>
      <c r="C29" s="9" t="s">
        <v>107</v>
      </c>
      <c r="D29" s="18">
        <v>40</v>
      </c>
      <c r="E29" s="9">
        <v>10</v>
      </c>
      <c r="F29" s="9" t="s">
        <v>36</v>
      </c>
    </row>
    <row r="30" spans="1:6" ht="15.75" customHeight="1" x14ac:dyDescent="0.2">
      <c r="A30" s="9" t="s">
        <v>108</v>
      </c>
      <c r="B30" s="9" t="s">
        <v>93</v>
      </c>
      <c r="C30" s="9" t="s">
        <v>109</v>
      </c>
      <c r="D30" s="18">
        <v>130</v>
      </c>
      <c r="E30" s="9">
        <v>5</v>
      </c>
      <c r="F30" s="9" t="s">
        <v>28</v>
      </c>
    </row>
    <row r="31" spans="1:6" ht="15.75" customHeight="1" x14ac:dyDescent="0.2">
      <c r="A31" s="9" t="s">
        <v>110</v>
      </c>
      <c r="B31" s="9" t="s">
        <v>111</v>
      </c>
      <c r="C31" s="9" t="s">
        <v>112</v>
      </c>
      <c r="D31" s="18">
        <v>50</v>
      </c>
      <c r="E31" s="9">
        <v>50</v>
      </c>
      <c r="F31" s="9" t="s">
        <v>32</v>
      </c>
    </row>
    <row r="32" spans="1:6" ht="15.75" customHeight="1" x14ac:dyDescent="0.2">
      <c r="A32" s="9" t="s">
        <v>113</v>
      </c>
      <c r="B32" s="9" t="s">
        <v>114</v>
      </c>
      <c r="C32" s="9" t="s">
        <v>115</v>
      </c>
      <c r="D32" s="18">
        <v>100</v>
      </c>
      <c r="E32" s="9">
        <v>20</v>
      </c>
      <c r="F32" s="9" t="s">
        <v>75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Original</vt:lpstr>
      <vt:lpstr>Missing Values</vt:lpstr>
      <vt:lpstr>Correcting Inconsistent Data</vt:lpstr>
      <vt:lpstr>Removing Duplicates</vt:lpstr>
      <vt:lpstr>Splitting and Merging Data</vt:lpstr>
      <vt:lpstr>Number Formatting</vt:lpstr>
      <vt:lpstr>Conditional Formatting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SAI_SACHIN</cp:lastModifiedBy>
  <dcterms:modified xsi:type="dcterms:W3CDTF">2026-04-12T17:51:05Z</dcterms:modified>
</cp:coreProperties>
</file>